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_Y1" sheetId="3" state="visible" r:id="rId3"/>
    <sheet xmlns:r="http://schemas.openxmlformats.org/officeDocument/2006/relationships" name="Payback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cale100x_Rev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  <sz val="11"/>
    </font>
    <font>
      <b val="1"/>
    </font>
    <font>
      <b val="1"/>
      <color rgb="001F4FD8"/>
    </font>
    <font/>
  </fonts>
  <fills count="5">
    <fill>
      <patternFill/>
    </fill>
    <fill>
      <patternFill patternType="gray125"/>
    </fill>
    <fill>
      <patternFill patternType="solid">
        <fgColor rgb="00111118"/>
      </patternFill>
    </fill>
    <fill>
      <patternFill patternType="solid">
        <fgColor rgb="00E8EEF9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2" fontId="4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2" fontId="5" fillId="4" borderId="0" pivotButton="0" quotePrefix="0" xfId="0"/>
    <xf numFmtId="0" fontId="0" fillId="0" borderId="0" applyAlignment="1" pivotButton="0" quotePrefix="0" xfId="0">
      <alignment vertical="top" wrapText="1"/>
    </xf>
    <xf numFmtId="1" fontId="5" fillId="4" borderId="0" pivotButton="0" quotePrefix="0" xfId="0"/>
    <xf numFmtId="164" fontId="5" fillId="4" borderId="0" pivotButton="0" quotePrefix="0" xfId="0"/>
    <xf numFmtId="0" fontId="2" fillId="0" borderId="0" pivotButton="0" quotePrefix="0" xfId="0"/>
    <xf numFmtId="0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per outlet, 36 months (₹ lakh)</a:t>
            </a:r>
          </a:p>
        </rich>
      </tx>
    </title>
    <plotArea>
      <lineChart>
        <grouping val="standard"/>
        <ser>
          <idx val="0"/>
          <order val="0"/>
          <tx>
            <strRef>
              <f>'Payback'!E5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'Payback'!$A$6:$A$41</f>
            </numRef>
          </cat>
          <val>
            <numRef>
              <f>'Payback'!$E$6:$E$41</f>
            </numRef>
          </val>
        </ser>
        <ser>
          <idx val="1"/>
          <order val="1"/>
          <tx>
            <strRef>
              <f>'Payback'!H5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'Payback'!$A$6:$A$41</f>
            </numRef>
          </cat>
          <val>
            <numRef>
              <f>'Payback'!$H$6:$H$41</f>
            </numRef>
          </val>
        </ser>
        <ser>
          <idx val="2"/>
          <order val="2"/>
          <tx>
            <strRef>
              <f>'Payback'!K5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'Payback'!$A$6:$A$41</f>
            </numRef>
          </cat>
          <val>
            <numRef>
              <f>'Payback'!$K$6:$K$41</f>
            </numRef>
          </val>
        </ser>
        <ser>
          <idx val="3"/>
          <order val="3"/>
          <tx>
            <strRef>
              <f>'Payback'!N5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'Payback'!$A$6:$A$41</f>
            </numRef>
          </cat>
          <val>
            <numRef>
              <f>'Payback'!$N$6:$N$41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lakh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Scale100x revenue by stream (₹ lakh)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'Scale100x_Rev'!A8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'Scale100x_Rev'!$B$4:$D$4</f>
            </numRef>
          </cat>
          <val>
            <numRef>
              <f>'Scale100x_Rev'!$B$8:$D$8</f>
            </numRef>
          </val>
        </ser>
        <ser>
          <idx val="1"/>
          <order val="1"/>
          <tx>
            <strRef>
              <f>'Scale100x_Rev'!A9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'Scale100x_Rev'!$B$4:$D$4</f>
            </numRef>
          </cat>
          <val>
            <numRef>
              <f>'Scale100x_Rev'!$B$9:$D$9</f>
            </numRef>
          </val>
        </ser>
        <ser>
          <idx val="2"/>
          <order val="2"/>
          <tx>
            <strRef>
              <f>'Scale100x_Rev'!A10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'Scale100x_Rev'!$B$4:$D$4</f>
            </numRef>
          </cat>
          <val>
            <numRef>
              <f>'Scale100x_Rev'!$B$10:$D$10</f>
            </numRef>
          </val>
        </ser>
        <ser>
          <idx val="3"/>
          <order val="3"/>
          <tx>
            <strRef>
              <f>'Scale100x_Rev'!A11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'Scale100x_Rev'!$B$4:$D$4</f>
            </numRef>
          </cat>
          <val>
            <numRef>
              <f>'Scale100x_Rev'!$B$11:$D$11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3" customWidth="1" min="3" max="3"/>
    <col width="40" customWidth="1" min="4" max="4"/>
    <col width="13" customWidth="1" min="5" max="5"/>
    <col width="3" customWidth="1" min="6" max="6"/>
  </cols>
  <sheetData>
    <row r="1">
      <c r="A1" s="1" t="inlineStr">
        <is>
          <t>FreshBrew QSR franchise model: summary</t>
        </is>
      </c>
    </row>
    <row r="2" ht="60" customHeight="1">
      <c r="A2" s="2" t="inlineStr">
        <is>
          <t>How to use: change any blue input on Assumptions (including the ₹6L / ₹8L / ₹10L scenario) and every tab updates. ₹6L / ₹8L / ₹10L = steady-state monthly gross sales per outlet, ex-GST (A3). Money in ₹ lakh. Payback is pre-tax (A28). Inputs are sourced ranges or labelled estimates; Scale100x pricing is not public, so its fees are editable estimates (A1).</t>
        </is>
      </c>
    </row>
    <row r="4">
      <c r="A4" s="3" t="inlineStr">
        <is>
          <t>Franchisee economics (one outlet)</t>
        </is>
      </c>
      <c r="B4" s="3" t="inlineStr">
        <is>
          <t>Value</t>
        </is>
      </c>
      <c r="C4" s="3" t="inlineStr"/>
      <c r="D4" s="3" t="inlineStr">
        <is>
          <t>Scale100x revenue (FreshBrew)</t>
        </is>
      </c>
      <c r="E4" s="3" t="inlineStr">
        <is>
          <t>Value</t>
        </is>
      </c>
      <c r="F4" s="3" t="inlineStr"/>
    </row>
    <row r="5">
      <c r="A5" t="inlineStr">
        <is>
          <t>Selected scenario: monthly sales (₹ lakh)</t>
        </is>
      </c>
      <c r="B5" s="4">
        <f>Assumptions!$C$6</f>
        <v/>
      </c>
      <c r="D5" t="inlineStr">
        <is>
          <t>Year 1 (₹ lakh)</t>
        </is>
      </c>
      <c r="E5" s="4">
        <f>Scale100x_Rev!B12</f>
        <v/>
      </c>
    </row>
    <row r="6">
      <c r="A6" t="inlineStr">
        <is>
          <t>Initial investment (₹ lakh)</t>
        </is>
      </c>
      <c r="B6" s="4">
        <f>Assumptions!$C$43</f>
        <v/>
      </c>
      <c r="D6" t="inlineStr">
        <is>
          <t>Year 2 (₹ lakh)</t>
        </is>
      </c>
      <c r="E6" s="4">
        <f>Scale100x_Rev!C12</f>
        <v/>
      </c>
    </row>
    <row r="7">
      <c r="A7" t="inlineStr">
        <is>
          <t>Payback month</t>
        </is>
      </c>
      <c r="B7" s="5">
        <f>Payback!C43</f>
        <v/>
      </c>
      <c r="D7" t="inlineStr">
        <is>
          <t>Year 3 (₹ lakh)</t>
        </is>
      </c>
      <c r="E7" s="4">
        <f>Scale100x_Rev!D12</f>
        <v/>
      </c>
    </row>
    <row r="8">
      <c r="A8" t="inlineStr">
        <is>
          <t>Year 1 sales (₹ lakh)</t>
        </is>
      </c>
      <c r="B8" s="4">
        <f>'P&amp;L_Y1'!N7</f>
        <v/>
      </c>
      <c r="D8" t="inlineStr">
        <is>
          <t>3-year total (₹ lakh)</t>
        </is>
      </c>
      <c r="E8" s="4">
        <f>Scale100x_Rev!E12</f>
        <v/>
      </c>
    </row>
    <row r="9">
      <c r="A9" t="inlineStr">
        <is>
          <t>Year 1 EBITDA (₹ lakh)</t>
        </is>
      </c>
      <c r="B9" s="4">
        <f>'P&amp;L_Y1'!N18</f>
        <v/>
      </c>
      <c r="D9" t="inlineStr">
        <is>
          <t>FreshBrew outlets signed, 3 years</t>
        </is>
      </c>
      <c r="E9" s="5">
        <f>Scale100x_Rev!E6</f>
        <v/>
      </c>
    </row>
    <row r="10">
      <c r="A10" t="inlineStr">
        <is>
          <t>Steady-state monthly EBITDA margin</t>
        </is>
      </c>
      <c r="B10" s="6">
        <f>'P&amp;L_Y1'!M19</f>
        <v/>
      </c>
      <c r="D10" t="inlineStr">
        <is>
          <t>Portfolio scenario, 3 years (₹ lakh)</t>
        </is>
      </c>
      <c r="E10" s="4">
        <f>Scale100x_Rev!E13</f>
        <v/>
      </c>
    </row>
    <row r="11">
      <c r="A11" t="inlineStr">
        <is>
          <t>Break-even monthly sales (₹ lakh)</t>
        </is>
      </c>
      <c r="B11" s="4">
        <f>Assumptions!$C$46</f>
        <v/>
      </c>
      <c r="D11" t="inlineStr">
        <is>
          <t>All model checks pass</t>
        </is>
      </c>
      <c r="E11" s="7">
        <f>Checks!B14</f>
        <v/>
      </c>
    </row>
    <row r="13">
      <c r="A13" s="3" t="inlineStr">
        <is>
          <t>Sensitivity</t>
        </is>
      </c>
      <c r="B13" s="3" t="inlineStr">
        <is>
          <t>₹6L</t>
        </is>
      </c>
      <c r="C13" s="3" t="inlineStr">
        <is>
          <t>₹8L</t>
        </is>
      </c>
      <c r="D13" s="3" t="inlineStr">
        <is>
          <t>₹10L</t>
        </is>
      </c>
    </row>
    <row r="14">
      <c r="A14" t="inlineStr">
        <is>
          <t>Steady-state monthly EBITDA (₹ lakh)</t>
        </is>
      </c>
      <c r="B14" s="8">
        <f>Sensitivity!B9</f>
        <v/>
      </c>
      <c r="C14" s="8">
        <f>Sensitivity!C9</f>
        <v/>
      </c>
      <c r="D14" s="8">
        <f>Sensitivity!D9</f>
        <v/>
      </c>
    </row>
    <row r="15">
      <c r="A15" t="inlineStr">
        <is>
          <t>Steady-state EBITDA margin</t>
        </is>
      </c>
      <c r="B15" s="9">
        <f>Sensitivity!B10</f>
        <v/>
      </c>
      <c r="C15" s="9">
        <f>Sensitivity!C10</f>
        <v/>
      </c>
      <c r="D15" s="9">
        <f>Sensitivity!D10</f>
        <v/>
      </c>
    </row>
    <row r="16">
      <c r="A16" t="inlineStr">
        <is>
          <t>Year 1 EBITDA (₹ lakh)</t>
        </is>
      </c>
      <c r="B16" s="8">
        <f>Sensitivity!B7</f>
        <v/>
      </c>
      <c r="C16" s="8">
        <f>Sensitivity!C7</f>
        <v/>
      </c>
      <c r="D16" s="8">
        <f>Sensitivity!D7</f>
        <v/>
      </c>
    </row>
    <row r="17">
      <c r="A17" t="inlineStr">
        <is>
          <t>Payback month</t>
        </is>
      </c>
      <c r="B17" s="10">
        <f>Sensitivity!B11</f>
        <v/>
      </c>
      <c r="C17" s="10">
        <f>Sensitivity!C11</f>
        <v/>
      </c>
      <c r="D17" s="10">
        <f>Sensitivity!D11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1" customWidth="1" min="3" max="3"/>
    <col width="18" customWidth="1" min="4" max="4"/>
    <col width="9" customWidth="1" min="5" max="5"/>
    <col width="9" customWidth="1" min="6" max="6"/>
    <col width="70" customWidth="1" min="7" max="7"/>
    <col width="11" customWidth="1" min="8" max="8"/>
  </cols>
  <sheetData>
    <row r="1">
      <c r="A1" s="1" t="inlineStr">
        <is>
          <t>Assumptions: every input lives here</t>
        </is>
      </c>
    </row>
    <row r="2" ht="30" customHeight="1">
      <c r="A2" s="2" t="inlineStr">
        <is>
          <t>Blue cells on a cream background are inputs: change them and every tab updates. Black cells are formulas. Money is in ₹ lakh (₹1 lakh = ₹100,000). Revenue excludes GST; payback is pre-tax (A28).</t>
        </is>
      </c>
    </row>
    <row r="4">
      <c r="A4" s="3" t="inlineStr">
        <is>
          <t>Key</t>
        </is>
      </c>
      <c r="B4" s="3" t="inlineStr">
        <is>
          <t>Input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Low</t>
        </is>
      </c>
      <c r="F4" s="3" t="inlineStr">
        <is>
          <t>High</t>
        </is>
      </c>
      <c r="G4" s="3" t="inlineStr">
        <is>
          <t>Source / basis</t>
        </is>
      </c>
      <c r="H4" s="3" t="inlineStr">
        <is>
          <t>Assumption</t>
        </is>
      </c>
    </row>
    <row r="5">
      <c r="A5" s="11" t="inlineStr">
        <is>
          <t>Scenario</t>
        </is>
      </c>
      <c r="B5" s="12" t="n"/>
      <c r="C5" s="12" t="n"/>
      <c r="D5" s="12" t="n"/>
      <c r="E5" s="12" t="n"/>
      <c r="F5" s="12" t="n"/>
      <c r="G5" s="12" t="n"/>
      <c r="H5" s="12" t="n"/>
    </row>
    <row r="6">
      <c r="A6" t="inlineStr">
        <is>
          <t>scenario</t>
        </is>
      </c>
      <c r="B6" t="inlineStr">
        <is>
          <t>Selected scenario: steady-state monthly gross sales per outlet</t>
        </is>
      </c>
      <c r="C6" s="13" t="n">
        <v>8</v>
      </c>
      <c r="D6" t="inlineStr">
        <is>
          <t>₹ lakh / month</t>
        </is>
      </c>
      <c r="E6" s="8" t="n">
        <v>6</v>
      </c>
      <c r="F6" s="8" t="n">
        <v>10</v>
      </c>
      <c r="G6" s="14" t="inlineStr">
        <is>
          <t>Brief's ₹6L / ₹8L / ₹10L, read as monthly gross sales per outlet, ex-GST. Pick 6, 8 or 10.</t>
        </is>
      </c>
      <c r="H6" t="inlineStr">
        <is>
          <t>A3</t>
        </is>
      </c>
    </row>
    <row r="7">
      <c r="A7" s="11" t="inlineStr">
        <is>
          <t>Outlet set-up (one-time)</t>
        </is>
      </c>
      <c r="B7" s="12" t="n"/>
      <c r="C7" s="12" t="n"/>
      <c r="D7" s="12" t="n"/>
      <c r="E7" s="12" t="n"/>
      <c r="F7" s="12" t="n"/>
      <c r="G7" s="12" t="n"/>
      <c r="H7" s="12" t="n"/>
    </row>
    <row r="8">
      <c r="A8" t="inlineStr">
        <is>
          <t>area</t>
        </is>
      </c>
      <c r="B8" t="inlineStr">
        <is>
          <t>Outlet size</t>
        </is>
      </c>
      <c r="C8" s="15" t="n">
        <v>600</v>
      </c>
      <c r="D8" t="inlineStr">
        <is>
          <t>sq ft</t>
        </is>
      </c>
      <c r="E8" s="10" t="n">
        <v>400</v>
      </c>
      <c r="F8" s="10" t="n">
        <v>700</v>
      </c>
      <c r="G8" s="14" t="inlineStr">
        <is>
          <t>Café-QSR format; S1 lists 400–1,000 sq ft café formats</t>
        </is>
      </c>
      <c r="H8" t="inlineStr">
        <is>
          <t>A2</t>
        </is>
      </c>
    </row>
    <row r="9">
      <c r="A9" t="inlineStr">
        <is>
          <t>capex</t>
        </is>
      </c>
      <c r="B9" t="inlineStr">
        <is>
          <t>Capex: fit-out, kitchen and coffee equipment, signage</t>
        </is>
      </c>
      <c r="C9" s="13" t="n">
        <v>24</v>
      </c>
      <c r="D9" t="inlineStr">
        <is>
          <t>₹ lakh</t>
        </is>
      </c>
      <c r="E9" s="8" t="n">
        <v>15</v>
      </c>
      <c r="F9" s="8" t="n">
        <v>40</v>
      </c>
      <c r="G9" s="14" t="inlineStr">
        <is>
          <t>Derived: S1/S2 total investment ₹20–50L less fee and working capital. Estimate</t>
        </is>
      </c>
      <c r="H9" t="inlineStr">
        <is>
          <t>A2</t>
        </is>
      </c>
    </row>
    <row r="10">
      <c r="A10" t="inlineStr">
        <is>
          <t>fee</t>
        </is>
      </c>
      <c r="B10" t="inlineStr">
        <is>
          <t>Franchise fee</t>
        </is>
      </c>
      <c r="C10" s="13" t="n">
        <v>6</v>
      </c>
      <c r="D10" t="inlineStr">
        <is>
          <t>₹ lakh</t>
        </is>
      </c>
      <c r="E10" s="8" t="n">
        <v>5</v>
      </c>
      <c r="F10" s="8" t="n">
        <v>10</v>
      </c>
      <c r="G10" s="14" t="inlineStr">
        <is>
          <t>S1: ₹5–8L (Barista), ₹10L (BrewBakes)</t>
        </is>
      </c>
      <c r="H10" t="inlineStr">
        <is>
          <t>A2</t>
        </is>
      </c>
    </row>
    <row r="11">
      <c r="A11" t="inlineStr">
        <is>
          <t>wc</t>
        </is>
      </c>
      <c r="B11" t="inlineStr">
        <is>
          <t>Working capital: opening stock, deposits, pre-opening costs</t>
        </is>
      </c>
      <c r="C11" s="13" t="n">
        <v>2</v>
      </c>
      <c r="D11" t="inlineStr">
        <is>
          <t>₹ lakh</t>
        </is>
      </c>
      <c r="E11" s="8" t="n">
        <v>1</v>
      </c>
      <c r="F11" s="8" t="n">
        <v>4</v>
      </c>
      <c r="G11" s="14" t="inlineStr">
        <is>
          <t>Estimate: about 3 weeks of fixed costs</t>
        </is>
      </c>
      <c r="H11" t="inlineStr">
        <is>
          <t>A2</t>
        </is>
      </c>
    </row>
    <row r="12">
      <c r="A12" s="11" t="inlineStr">
        <is>
          <t>Ramp-up (% of steady-state sales)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t="inlineStr">
        <is>
          <t>ramp1</t>
        </is>
      </c>
      <c r="B13" t="inlineStr">
        <is>
          <t>Month 1</t>
        </is>
      </c>
      <c r="C13" s="16" t="n">
        <v>0.6</v>
      </c>
      <c r="D13" t="inlineStr">
        <is>
          <t>%</t>
        </is>
      </c>
      <c r="E13" s="9" t="n">
        <v>0.4</v>
      </c>
      <c r="F13" s="9" t="n">
        <v>0.8</v>
      </c>
      <c r="G13" s="14" t="inlineStr">
        <is>
          <t>Estimate: new-outlet ramp; month 7 onwards = 100%</t>
        </is>
      </c>
      <c r="H13" t="inlineStr">
        <is>
          <t>A2</t>
        </is>
      </c>
    </row>
    <row r="14">
      <c r="A14" t="inlineStr">
        <is>
          <t>ramp2</t>
        </is>
      </c>
      <c r="B14" t="inlineStr">
        <is>
          <t>Month 2</t>
        </is>
      </c>
      <c r="C14" s="16" t="n">
        <v>0.7</v>
      </c>
      <c r="D14" t="inlineStr">
        <is>
          <t>%</t>
        </is>
      </c>
      <c r="E14" s="9" t="n">
        <v>0.5</v>
      </c>
      <c r="F14" s="9" t="n">
        <v>0.85</v>
      </c>
      <c r="G14" s="14" t="inlineStr">
        <is>
          <t>Estimate</t>
        </is>
      </c>
      <c r="H14" t="inlineStr">
        <is>
          <t>A2</t>
        </is>
      </c>
    </row>
    <row r="15">
      <c r="A15" t="inlineStr">
        <is>
          <t>ramp3</t>
        </is>
      </c>
      <c r="B15" t="inlineStr">
        <is>
          <t>Month 3</t>
        </is>
      </c>
      <c r="C15" s="16" t="n">
        <v>0.8</v>
      </c>
      <c r="D15" t="inlineStr">
        <is>
          <t>%</t>
        </is>
      </c>
      <c r="E15" s="9" t="n">
        <v>0.6</v>
      </c>
      <c r="F15" s="9" t="n">
        <v>0.9</v>
      </c>
      <c r="G15" s="14" t="inlineStr">
        <is>
          <t>Estimate</t>
        </is>
      </c>
      <c r="H15" t="inlineStr">
        <is>
          <t>A2</t>
        </is>
      </c>
    </row>
    <row r="16">
      <c r="A16" t="inlineStr">
        <is>
          <t>ramp4</t>
        </is>
      </c>
      <c r="B16" t="inlineStr">
        <is>
          <t>Month 4</t>
        </is>
      </c>
      <c r="C16" s="16" t="n">
        <v>0.9</v>
      </c>
      <c r="D16" t="inlineStr">
        <is>
          <t>%</t>
        </is>
      </c>
      <c r="E16" s="9" t="n">
        <v>0.7</v>
      </c>
      <c r="F16" s="9" t="n">
        <v>0.95</v>
      </c>
      <c r="G16" s="14" t="inlineStr">
        <is>
          <t>Estimate</t>
        </is>
      </c>
      <c r="H16" t="inlineStr">
        <is>
          <t>A2</t>
        </is>
      </c>
    </row>
    <row r="17">
      <c r="A17" t="inlineStr">
        <is>
          <t>ramp5</t>
        </is>
      </c>
      <c r="B17" t="inlineStr">
        <is>
          <t>Month 5</t>
        </is>
      </c>
      <c r="C17" s="16" t="n">
        <v>0.95</v>
      </c>
      <c r="D17" t="inlineStr">
        <is>
          <t>%</t>
        </is>
      </c>
      <c r="E17" s="9" t="n">
        <v>0.8</v>
      </c>
      <c r="F17" s="9" t="n">
        <v>1</v>
      </c>
      <c r="G17" s="14" t="inlineStr">
        <is>
          <t>Estimate</t>
        </is>
      </c>
      <c r="H17" t="inlineStr">
        <is>
          <t>A2</t>
        </is>
      </c>
    </row>
    <row r="18">
      <c r="A18" t="inlineStr">
        <is>
          <t>ramp6</t>
        </is>
      </c>
      <c r="B18" t="inlineStr">
        <is>
          <t>Month 6</t>
        </is>
      </c>
      <c r="C18" s="16" t="n">
        <v>1</v>
      </c>
      <c r="D18" t="inlineStr">
        <is>
          <t>%</t>
        </is>
      </c>
      <c r="E18" s="9" t="n">
        <v>0.9</v>
      </c>
      <c r="F18" s="9" t="n">
        <v>1</v>
      </c>
      <c r="G18" s="14" t="inlineStr">
        <is>
          <t>Estimate</t>
        </is>
      </c>
      <c r="H18" t="inlineStr">
        <is>
          <t>A2</t>
        </is>
      </c>
    </row>
    <row r="19">
      <c r="A19" s="11" t="inlineStr">
        <is>
          <t>Variable costs (% of gross sales)</t>
        </is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t="inlineStr">
        <is>
          <t>cogs</t>
        </is>
      </c>
      <c r="B20" t="inlineStr">
        <is>
          <t>COGS: food, beverage and packaging</t>
        </is>
      </c>
      <c r="C20" s="16" t="n">
        <v>0.3</v>
      </c>
      <c r="D20" t="inlineStr">
        <is>
          <t>% of sales</t>
        </is>
      </c>
      <c r="E20" s="9" t="n">
        <v>0.28</v>
      </c>
      <c r="F20" s="9" t="n">
        <v>0.35</v>
      </c>
      <c r="G20" s="14" t="inlineStr">
        <is>
          <t>S3, S4: 28–35%</t>
        </is>
      </c>
      <c r="H20" t="inlineStr">
        <is>
          <t>A2</t>
        </is>
      </c>
    </row>
    <row r="21">
      <c r="A21" t="inlineStr">
        <is>
          <t>deliv_share</t>
        </is>
      </c>
      <c r="B21" t="inlineStr">
        <is>
          <t>Share of sales through delivery apps</t>
        </is>
      </c>
      <c r="C21" s="16" t="n">
        <v>0.3</v>
      </c>
      <c r="D21" t="inlineStr">
        <is>
          <t>% of sales</t>
        </is>
      </c>
      <c r="E21" s="9" t="n">
        <v>0.2</v>
      </c>
      <c r="F21" s="9" t="n">
        <v>0.4</v>
      </c>
      <c r="G21" s="14" t="inlineStr">
        <is>
          <t>Estimate. No sourced figure for café-QSR found</t>
        </is>
      </c>
      <c r="H21" t="inlineStr">
        <is>
          <t>A2</t>
        </is>
      </c>
    </row>
    <row r="22">
      <c r="A22" t="inlineStr">
        <is>
          <t>deliv_comm</t>
        </is>
      </c>
      <c r="B22" t="inlineStr">
        <is>
          <t>Delivery-app commission on those sales</t>
        </is>
      </c>
      <c r="C22" s="16" t="n">
        <v>0.22</v>
      </c>
      <c r="D22" t="inlineStr">
        <is>
          <t>% of delivery sales</t>
        </is>
      </c>
      <c r="E22" s="9" t="n">
        <v>0.22</v>
      </c>
      <c r="F22" s="9" t="n">
        <v>0.25</v>
      </c>
      <c r="G22" s="14" t="inlineStr">
        <is>
          <t>S4: 22–25%</t>
        </is>
      </c>
      <c r="H22" t="inlineStr">
        <is>
          <t>A2</t>
        </is>
      </c>
    </row>
    <row r="23">
      <c r="A23" t="inlineStr">
        <is>
          <t>royalty</t>
        </is>
      </c>
      <c r="B23" t="inlineStr">
        <is>
          <t>Royalty to the brand</t>
        </is>
      </c>
      <c r="C23" s="16" t="n">
        <v>0.06</v>
      </c>
      <c r="D23" t="inlineStr">
        <is>
          <t>% of sales</t>
        </is>
      </c>
      <c r="E23" s="9" t="n">
        <v>0.04</v>
      </c>
      <c r="F23" s="9" t="n">
        <v>0.08</v>
      </c>
      <c r="G23" s="14" t="inlineStr">
        <is>
          <t>S1: 5–8%; S2: ~4–6%</t>
        </is>
      </c>
      <c r="H23" t="inlineStr">
        <is>
          <t>A2</t>
        </is>
      </c>
    </row>
    <row r="24">
      <c r="A24" t="inlineStr">
        <is>
          <t>mktg</t>
        </is>
      </c>
      <c r="B24" t="inlineStr">
        <is>
          <t>Marketing / brand-fund fee</t>
        </is>
      </c>
      <c r="C24" s="16" t="n">
        <v>0.02</v>
      </c>
      <c r="D24" t="inlineStr">
        <is>
          <t>% of sales</t>
        </is>
      </c>
      <c r="E24" s="9" t="n">
        <v>0.02</v>
      </c>
      <c r="F24" s="9" t="n">
        <v>0.05</v>
      </c>
      <c r="G24" s="14" t="inlineStr">
        <is>
          <t>S3: marketing 2–5%</t>
        </is>
      </c>
      <c r="H24" t="inlineStr">
        <is>
          <t>A2</t>
        </is>
      </c>
    </row>
    <row r="25">
      <c r="A25" t="inlineStr">
        <is>
          <t>other_var</t>
        </is>
      </c>
      <c r="B25" t="inlineStr">
        <is>
          <t>Other variable opex: POS, card fees, consumables, repairs</t>
        </is>
      </c>
      <c r="C25" s="16" t="n">
        <v>0.03</v>
      </c>
      <c r="D25" t="inlineStr">
        <is>
          <t>% of sales</t>
        </is>
      </c>
      <c r="E25" s="9" t="n">
        <v>0.02</v>
      </c>
      <c r="F25" s="9" t="n">
        <v>0.05</v>
      </c>
      <c r="G25" s="14" t="inlineStr">
        <is>
          <t>Estimate</t>
        </is>
      </c>
      <c r="H25" t="inlineStr">
        <is>
          <t>A2</t>
        </is>
      </c>
    </row>
    <row r="26">
      <c r="A26" s="11" t="inlineStr">
        <is>
          <t>Fixed monthly costs</t>
        </is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t="inlineStr">
        <is>
          <t>rent</t>
        </is>
      </c>
      <c r="B27" t="inlineStr">
        <is>
          <t>Rent incl. maintenance</t>
        </is>
      </c>
      <c r="C27" s="13" t="n">
        <v>0.9</v>
      </c>
      <c r="D27" t="inlineStr">
        <is>
          <t>₹ lakh / month</t>
        </is>
      </c>
      <c r="E27" s="8" t="n">
        <v>0.64</v>
      </c>
      <c r="F27" s="8" t="n">
        <v>1.2</v>
      </c>
      <c r="G27" s="14" t="inlineStr">
        <is>
          <t>Set at 11% of ₹8L base sales; S3 recommends 10–12% (8–15% typical)</t>
        </is>
      </c>
      <c r="H27" t="inlineStr">
        <is>
          <t>A2</t>
        </is>
      </c>
    </row>
    <row r="28">
      <c r="A28" t="inlineStr">
        <is>
          <t>staff</t>
        </is>
      </c>
      <c r="B28" t="inlineStr">
        <is>
          <t>Staff: salaries, food, incentives</t>
        </is>
      </c>
      <c r="C28" s="13" t="n">
        <v>1.6</v>
      </c>
      <c r="D28" t="inlineStr">
        <is>
          <t>₹ lakh / month</t>
        </is>
      </c>
      <c r="E28" s="8" t="n">
        <v>1.44</v>
      </c>
      <c r="F28" s="8" t="n">
        <v>2</v>
      </c>
      <c r="G28" s="14" t="inlineStr">
        <is>
          <t>Set at 20% of ₹8L base sales; S3 18–25%, S4 20–25%</t>
        </is>
      </c>
      <c r="H28" t="inlineStr">
        <is>
          <t>A2</t>
        </is>
      </c>
    </row>
    <row r="29">
      <c r="A29" t="inlineStr">
        <is>
          <t>utilities</t>
        </is>
      </c>
      <c r="B29" t="inlineStr">
        <is>
          <t>Utilities: power, water, gas, internet</t>
        </is>
      </c>
      <c r="C29" s="13" t="n">
        <v>0.4</v>
      </c>
      <c r="D29" t="inlineStr">
        <is>
          <t>₹ lakh / month</t>
        </is>
      </c>
      <c r="E29" s="8" t="n">
        <v>0.32</v>
      </c>
      <c r="F29" s="8" t="n">
        <v>0.5600000000000001</v>
      </c>
      <c r="G29" s="14" t="inlineStr">
        <is>
          <t>Set at 5% of ₹8L base sales; S3 4–7%</t>
        </is>
      </c>
      <c r="H29" t="inlineStr">
        <is>
          <t>A2</t>
        </is>
      </c>
    </row>
    <row r="30">
      <c r="A30" s="11" t="inlineStr">
        <is>
          <t>Scale100x commercials (per brand). Scale100x pricing is not public: all editable estimates</t>
        </is>
      </c>
      <c r="B30" s="12" t="n"/>
      <c r="C30" s="12" t="n"/>
      <c r="D30" s="12" t="n"/>
      <c r="E30" s="12" t="n"/>
      <c r="F30" s="12" t="n"/>
      <c r="G30" s="12" t="n"/>
      <c r="H30" s="12" t="n"/>
    </row>
    <row r="31">
      <c r="A31" t="inlineStr">
        <is>
          <t>setup</t>
        </is>
      </c>
      <c r="B31" t="inlineStr">
        <is>
          <t>One-time brand setup fee (Year 1)</t>
        </is>
      </c>
      <c r="C31" s="13" t="n">
        <v>5</v>
      </c>
      <c r="D31" t="inlineStr">
        <is>
          <t>₹ lakh</t>
        </is>
      </c>
      <c r="E31" s="8" t="n">
        <v>2</v>
      </c>
      <c r="F31" s="8" t="n">
        <v>10</v>
      </c>
      <c r="G31" s="14" t="inlineStr">
        <is>
          <t>Estimate. Pricing not public</t>
        </is>
      </c>
      <c r="H31" t="inlineStr">
        <is>
          <t>A1</t>
        </is>
      </c>
    </row>
    <row r="32">
      <c r="A32" t="inlineStr">
        <is>
          <t>retainer</t>
        </is>
      </c>
      <c r="B32" t="inlineStr">
        <is>
          <t>Monthly retainer</t>
        </is>
      </c>
      <c r="C32" s="13" t="n">
        <v>1.5</v>
      </c>
      <c r="D32" t="inlineStr">
        <is>
          <t>₹ lakh / month</t>
        </is>
      </c>
      <c r="E32" s="8" t="n">
        <v>1</v>
      </c>
      <c r="F32" s="8" t="n">
        <v>3</v>
      </c>
      <c r="G32" s="14" t="inlineStr">
        <is>
          <t>Estimate. Pricing not public</t>
        </is>
      </c>
      <c r="H32" t="inlineStr">
        <is>
          <t>A1</t>
        </is>
      </c>
    </row>
    <row r="33">
      <c r="A33" t="inlineStr">
        <is>
          <t>months</t>
        </is>
      </c>
      <c r="B33" t="inlineStr">
        <is>
          <t>Retainer months billed per year</t>
        </is>
      </c>
      <c r="C33" s="15" t="n">
        <v>12</v>
      </c>
      <c r="D33" t="inlineStr">
        <is>
          <t>months</t>
        </is>
      </c>
      <c r="E33" s="10" t="n">
        <v>6</v>
      </c>
      <c r="F33" s="10" t="n">
        <v>12</v>
      </c>
      <c r="G33" s="14" t="inlineStr">
        <is>
          <t>Estimate</t>
        </is>
      </c>
      <c r="H33" t="inlineStr">
        <is>
          <t>A1</t>
        </is>
      </c>
    </row>
    <row r="34">
      <c r="A34" t="inlineStr">
        <is>
          <t>success_pct</t>
        </is>
      </c>
      <c r="B34" t="inlineStr">
        <is>
          <t>Success fee per franchisee signed, as % of the franchise fee</t>
        </is>
      </c>
      <c r="C34" s="16" t="n">
        <v>0.25</v>
      </c>
      <c r="D34" t="inlineStr">
        <is>
          <t>% of fee</t>
        </is>
      </c>
      <c r="E34" s="9" t="n">
        <v>0.15</v>
      </c>
      <c r="F34" s="9" t="n">
        <v>0.5</v>
      </c>
      <c r="G34" s="14" t="inlineStr">
        <is>
          <t>Estimate. Pricing not public</t>
        </is>
      </c>
      <c r="H34" t="inlineStr">
        <is>
          <t>A1</t>
        </is>
      </c>
    </row>
    <row r="35">
      <c r="A35" t="inlineStr">
        <is>
          <t>roy_share</t>
        </is>
      </c>
      <c r="B35" t="inlineStr">
        <is>
          <t>Share of the brand's royalty paid to Scale100x (optional stream)</t>
        </is>
      </c>
      <c r="C35" s="16" t="n">
        <v>0</v>
      </c>
      <c r="D35" t="inlineStr">
        <is>
          <t>% of royalty</t>
        </is>
      </c>
      <c r="E35" s="9" t="n">
        <v>0</v>
      </c>
      <c r="F35" s="9" t="n">
        <v>0.2</v>
      </c>
      <c r="G35" s="14" t="inlineStr">
        <is>
          <t>Off by default. Set above 0 to model a royalty-share deal</t>
        </is>
      </c>
      <c r="H35" t="inlineStr">
        <is>
          <t>A1</t>
        </is>
      </c>
    </row>
    <row r="36">
      <c r="A36" s="11" t="inlineStr">
        <is>
          <t>FreshBrew roll-out and portfolio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>
      <c r="A37" t="inlineStr">
        <is>
          <t>signed1</t>
        </is>
      </c>
      <c r="B37" t="inlineStr">
        <is>
          <t>FreshBrew outlets signed, Year 1</t>
        </is>
      </c>
      <c r="C37" s="15" t="n">
        <v>24</v>
      </c>
      <c r="D37" t="inlineStr">
        <is>
          <t>outlets</t>
        </is>
      </c>
      <c r="E37" s="10" t="n">
        <v>12</v>
      </c>
      <c r="F37" s="10" t="n">
        <v>36</v>
      </c>
      <c r="G37" s="14" t="inlineStr">
        <is>
          <t>Estimate: ramps to 3 a month, matching A19 volumes</t>
        </is>
      </c>
      <c r="H37" t="inlineStr">
        <is>
          <t>A27</t>
        </is>
      </c>
    </row>
    <row r="38">
      <c r="A38" t="inlineStr">
        <is>
          <t>signed2</t>
        </is>
      </c>
      <c r="B38" t="inlineStr">
        <is>
          <t>FreshBrew outlets signed, Year 2</t>
        </is>
      </c>
      <c r="C38" s="15" t="n">
        <v>36</v>
      </c>
      <c r="D38" t="inlineStr">
        <is>
          <t>outlets</t>
        </is>
      </c>
      <c r="E38" s="10" t="n">
        <v>24</v>
      </c>
      <c r="F38" s="10" t="n">
        <v>48</v>
      </c>
      <c r="G38" s="14" t="inlineStr">
        <is>
          <t>Estimate: 3 a month (A19)</t>
        </is>
      </c>
      <c r="H38" t="inlineStr">
        <is>
          <t>A27</t>
        </is>
      </c>
    </row>
    <row r="39">
      <c r="A39" t="inlineStr">
        <is>
          <t>signed3</t>
        </is>
      </c>
      <c r="B39" t="inlineStr">
        <is>
          <t>FreshBrew outlets signed, Year 3</t>
        </is>
      </c>
      <c r="C39" s="15" t="n">
        <v>36</v>
      </c>
      <c r="D39" t="inlineStr">
        <is>
          <t>outlets</t>
        </is>
      </c>
      <c r="E39" s="10" t="n">
        <v>24</v>
      </c>
      <c r="F39" s="10" t="n">
        <v>48</v>
      </c>
      <c r="G39" s="14" t="inlineStr">
        <is>
          <t>Estimate: 3 a month (A19)</t>
        </is>
      </c>
      <c r="H39" t="inlineStr">
        <is>
          <t>A27</t>
        </is>
      </c>
    </row>
    <row r="40">
      <c r="A40" t="inlineStr">
        <is>
          <t>brands</t>
        </is>
      </c>
      <c r="B40" t="inlineStr">
        <is>
          <t>Brands in the portfolio scenario</t>
        </is>
      </c>
      <c r="C40" s="15" t="n">
        <v>5</v>
      </c>
      <c r="D40" t="inlineStr">
        <is>
          <t>brands</t>
        </is>
      </c>
      <c r="E40" s="10" t="n">
        <v>1</v>
      </c>
      <c r="F40" s="10" t="n">
        <v>20</v>
      </c>
      <c r="G40" s="14" t="inlineStr">
        <is>
          <t>Estimate. Scales one FreshBrew-like brand; Scale100x reports 20+ brands scaled</t>
        </is>
      </c>
      <c r="H40" t="inlineStr">
        <is>
          <t>A4</t>
        </is>
      </c>
    </row>
    <row r="42">
      <c r="A42" s="11" t="inlineStr">
        <is>
          <t>Calculated from the inputs above (do not edit)</t>
        </is>
      </c>
      <c r="B42" s="12" t="n"/>
      <c r="C42" s="12" t="n"/>
      <c r="D42" s="12" t="n"/>
      <c r="E42" s="12" t="n"/>
      <c r="F42" s="12" t="n"/>
      <c r="G42" s="12" t="n"/>
      <c r="H42" s="12" t="n"/>
    </row>
    <row r="43">
      <c r="A43" t="inlineStr">
        <is>
          <t>invest</t>
        </is>
      </c>
      <c r="B43" t="inlineStr">
        <is>
          <t>Initial investment = capex + franchise fee + working capital</t>
        </is>
      </c>
      <c r="C43" s="8">
        <f>Assumptions!$C$9+Assumptions!$C$10+Assumptions!$C$11</f>
        <v/>
      </c>
      <c r="D43" t="inlineStr">
        <is>
          <t>₹ lakh</t>
        </is>
      </c>
    </row>
    <row r="44">
      <c r="A44" t="inlineStr">
        <is>
          <t>var_pct</t>
        </is>
      </c>
      <c r="B44" t="inlineStr">
        <is>
          <t>Total variable costs as % of sales</t>
        </is>
      </c>
      <c r="C44" s="9">
        <f>Assumptions!$C$20+Assumptions!$C$21*Assumptions!$C$22+Assumptions!$C$23+Assumptions!$C$24+Assumptions!$C$25</f>
        <v/>
      </c>
      <c r="D44" t="inlineStr">
        <is>
          <t>% of sales</t>
        </is>
      </c>
    </row>
    <row r="45">
      <c r="A45" t="inlineStr">
        <is>
          <t>fixed</t>
        </is>
      </c>
      <c r="B45" t="inlineStr">
        <is>
          <t>Total fixed costs per month</t>
        </is>
      </c>
      <c r="C45" s="8">
        <f>Assumptions!$C$27+Assumptions!$C$28+Assumptions!$C$29</f>
        <v/>
      </c>
      <c r="D45" t="inlineStr">
        <is>
          <t>₹ lakh / month</t>
        </is>
      </c>
    </row>
    <row r="46">
      <c r="A46" t="inlineStr">
        <is>
          <t>breakeven</t>
        </is>
      </c>
      <c r="B46" t="inlineStr">
        <is>
          <t>Break-even monthly sales = fixed costs ÷ (1 − variable %)</t>
        </is>
      </c>
      <c r="C46" s="8">
        <f>Assumptions!$C$45/(1-Assumptions!$C$44)</f>
        <v/>
      </c>
      <c r="D46" t="inlineStr">
        <is>
          <t>₹ lakh / month</t>
        </is>
      </c>
    </row>
    <row r="47">
      <c r="A47" t="inlineStr">
        <is>
          <t>success_fee</t>
        </is>
      </c>
      <c r="B47" t="inlineStr">
        <is>
          <t>Success fee per franchisee signed</t>
        </is>
      </c>
      <c r="C47" s="8">
        <f>Assumptions!$C$34*Assumptions!$C$10</f>
        <v/>
      </c>
      <c r="D47" t="inlineStr">
        <is>
          <t>₹ lakh</t>
        </is>
      </c>
    </row>
    <row r="49">
      <c r="A49" s="7" t="inlineStr">
        <is>
          <t>Sources (third-party listings and trade articles, not franchisor disclosures; accessed 17 Oct 2026)</t>
        </is>
      </c>
    </row>
    <row r="50" ht="32" customHeight="1">
      <c r="A50" s="14" t="inlineStr">
        <is>
          <t>S1: FranchiseBazar, 'Top Cafe Franchises Between 30 To 50 Lakhs in India 2026' (24 Jun 2026): Barista ₹30–50L, fee ₹5–8L, 8% royalty, 650–850 sq ft, break-even 24–36 months; BrewBakes fee ₹10L, 5% royalty; Brewtopia ₹30–50L, 400–1,000 sq ft</t>
        </is>
      </c>
    </row>
    <row r="51" ht="32" customHeight="1">
      <c r="A51" s="14" t="inlineStr">
        <is>
          <t>S2: FranchiseBazar, 'Best Chai Franchise Business in India' (Aug 2026): Chai Sutta Bar ₹20–30L, 4% royalty; MBA Chai Wala ₹14–23L, ~4–6% royalty</t>
        </is>
      </c>
    </row>
    <row r="52" ht="32" customHeight="1">
      <c r="A52" s="14" t="inlineStr">
        <is>
          <t>S3: Restaurant India, 'Can Restaurants Stay Profitable With Rising Rentals?' (14 Jul 2026): rent 10–12% of revenue recommended (8–15% typical); food 28–35%; staff 18–25%; utilities 4–7%; marketing 2–5%; EBITDA 8–18%</t>
        </is>
      </c>
    </row>
    <row r="53" ht="32" customHeight="1">
      <c r="A53" s="14" t="inlineStr">
        <is>
          <t>S4: Petpooja, 'Free Restaurant P&amp;L Template' (updated May 2026): food cost 28–35%, labour 20–25%, rent under 12%, EBITDA 15–20%, delivery-app commission 22–25%. Page calls these 'directional, not a published standard'</t>
        </is>
      </c>
    </row>
  </sheetData>
  <mergeCells count="5">
    <mergeCell ref="A50:H50"/>
    <mergeCell ref="A53:H53"/>
    <mergeCell ref="A2:H2"/>
    <mergeCell ref="A51:H51"/>
    <mergeCell ref="A52:H52"/>
  </mergeCells>
  <dataValidations count="1">
    <dataValidation sqref="C6" showDropDown="0" showInputMessage="0" showErrorMessage="0" allowBlank="0" type="list">
      <formula1>"6,8,10"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Franchisee P&amp;L, Year 1, selected scenario (₹ lakh)</t>
        </is>
      </c>
    </row>
    <row r="2">
      <c r="A2" s="17">
        <f>"Scenario: ₹"&amp;Assumptions!$C$6&amp;"L steady-state monthly sales per outlet. Change it on Assumptions."</f>
        <v/>
      </c>
    </row>
    <row r="4">
      <c r="A4" s="3" t="inlineStr">
        <is>
          <t>Line item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Year 1</t>
        </is>
      </c>
    </row>
    <row r="5">
      <c r="A5" s="18" t="inlineStr">
        <is>
          <t>Month number</t>
        </is>
      </c>
      <c r="B5" s="10">
        <f>1</f>
        <v/>
      </c>
      <c r="C5" s="10">
        <f>2</f>
        <v/>
      </c>
      <c r="D5" s="10">
        <f>3</f>
        <v/>
      </c>
      <c r="E5" s="10">
        <f>4</f>
        <v/>
      </c>
      <c r="F5" s="10">
        <f>5</f>
        <v/>
      </c>
      <c r="G5" s="10">
        <f>6</f>
        <v/>
      </c>
      <c r="H5" s="10">
        <f>7</f>
        <v/>
      </c>
      <c r="I5" s="10">
        <f>8</f>
        <v/>
      </c>
      <c r="J5" s="10">
        <f>9</f>
        <v/>
      </c>
      <c r="K5" s="10">
        <f>10</f>
        <v/>
      </c>
      <c r="L5" s="10">
        <f>11</f>
        <v/>
      </c>
      <c r="M5" s="10">
        <f>12</f>
        <v/>
      </c>
    </row>
    <row r="6">
      <c r="A6" s="18" t="inlineStr">
        <is>
          <t>Ramp-up (% of steady state)</t>
        </is>
      </c>
      <c r="B6" s="9">
        <f>Assumptions!$C$13</f>
        <v/>
      </c>
      <c r="C6" s="9">
        <f>Assumptions!$C$14</f>
        <v/>
      </c>
      <c r="D6" s="9">
        <f>Assumptions!$C$15</f>
        <v/>
      </c>
      <c r="E6" s="9">
        <f>Assumptions!$C$16</f>
        <v/>
      </c>
      <c r="F6" s="9">
        <f>Assumptions!$C$17</f>
        <v/>
      </c>
      <c r="G6" s="9">
        <f>Assumptions!$C$18</f>
        <v/>
      </c>
      <c r="H6" s="9">
        <f>1</f>
        <v/>
      </c>
      <c r="I6" s="9">
        <f>1</f>
        <v/>
      </c>
      <c r="J6" s="9">
        <f>1</f>
        <v/>
      </c>
      <c r="K6" s="9">
        <f>1</f>
        <v/>
      </c>
      <c r="L6" s="9">
        <f>1</f>
        <v/>
      </c>
      <c r="M6" s="9">
        <f>1</f>
        <v/>
      </c>
    </row>
    <row r="7">
      <c r="A7" s="7" t="inlineStr">
        <is>
          <t>Revenue: gross sales, ex-GST</t>
        </is>
      </c>
      <c r="B7" s="8">
        <f>Assumptions!$C$6*B6</f>
        <v/>
      </c>
      <c r="C7" s="8">
        <f>Assumptions!$C$6*C6</f>
        <v/>
      </c>
      <c r="D7" s="8">
        <f>Assumptions!$C$6*D6</f>
        <v/>
      </c>
      <c r="E7" s="8">
        <f>Assumptions!$C$6*E6</f>
        <v/>
      </c>
      <c r="F7" s="8">
        <f>Assumptions!$C$6*F6</f>
        <v/>
      </c>
      <c r="G7" s="8">
        <f>Assumptions!$C$6*G6</f>
        <v/>
      </c>
      <c r="H7" s="8">
        <f>Assumptions!$C$6*H6</f>
        <v/>
      </c>
      <c r="I7" s="8">
        <f>Assumptions!$C$6*I6</f>
        <v/>
      </c>
      <c r="J7" s="8">
        <f>Assumptions!$C$6*J6</f>
        <v/>
      </c>
      <c r="K7" s="8">
        <f>Assumptions!$C$6*K6</f>
        <v/>
      </c>
      <c r="L7" s="8">
        <f>Assumptions!$C$6*L6</f>
        <v/>
      </c>
      <c r="M7" s="8">
        <f>Assumptions!$C$6*M6</f>
        <v/>
      </c>
      <c r="N7" s="4">
        <f>SUM(B7:M7)</f>
        <v/>
      </c>
    </row>
    <row r="8">
      <c r="A8" s="18" t="inlineStr">
        <is>
          <t>COGS</t>
        </is>
      </c>
      <c r="B8" s="8">
        <f>B7*Assumptions!$C$20</f>
        <v/>
      </c>
      <c r="C8" s="8">
        <f>C7*Assumptions!$C$20</f>
        <v/>
      </c>
      <c r="D8" s="8">
        <f>D7*Assumptions!$C$20</f>
        <v/>
      </c>
      <c r="E8" s="8">
        <f>E7*Assumptions!$C$20</f>
        <v/>
      </c>
      <c r="F8" s="8">
        <f>F7*Assumptions!$C$20</f>
        <v/>
      </c>
      <c r="G8" s="8">
        <f>G7*Assumptions!$C$20</f>
        <v/>
      </c>
      <c r="H8" s="8">
        <f>H7*Assumptions!$C$20</f>
        <v/>
      </c>
      <c r="I8" s="8">
        <f>I7*Assumptions!$C$20</f>
        <v/>
      </c>
      <c r="J8" s="8">
        <f>J7*Assumptions!$C$20</f>
        <v/>
      </c>
      <c r="K8" s="8">
        <f>K7*Assumptions!$C$20</f>
        <v/>
      </c>
      <c r="L8" s="8">
        <f>L7*Assumptions!$C$20</f>
        <v/>
      </c>
      <c r="M8" s="8">
        <f>M7*Assumptions!$C$20</f>
        <v/>
      </c>
      <c r="N8" s="4">
        <f>SUM(B8:M8)</f>
        <v/>
      </c>
    </row>
    <row r="9">
      <c r="A9" s="7" t="inlineStr">
        <is>
          <t>Gross profit</t>
        </is>
      </c>
      <c r="B9" s="8">
        <f>B7-B8</f>
        <v/>
      </c>
      <c r="C9" s="8">
        <f>C7-C8</f>
        <v/>
      </c>
      <c r="D9" s="8">
        <f>D7-D8</f>
        <v/>
      </c>
      <c r="E9" s="8">
        <f>E7-E8</f>
        <v/>
      </c>
      <c r="F9" s="8">
        <f>F7-F8</f>
        <v/>
      </c>
      <c r="G9" s="8">
        <f>G7-G8</f>
        <v/>
      </c>
      <c r="H9" s="8">
        <f>H7-H8</f>
        <v/>
      </c>
      <c r="I9" s="8">
        <f>I7-I8</f>
        <v/>
      </c>
      <c r="J9" s="8">
        <f>J7-J8</f>
        <v/>
      </c>
      <c r="K9" s="8">
        <f>K7-K8</f>
        <v/>
      </c>
      <c r="L9" s="8">
        <f>L7-L8</f>
        <v/>
      </c>
      <c r="M9" s="8">
        <f>M7-M8</f>
        <v/>
      </c>
      <c r="N9" s="4">
        <f>SUM(B9:M9)</f>
        <v/>
      </c>
    </row>
    <row r="10">
      <c r="A10" s="18" t="inlineStr">
        <is>
          <t>Delivery-app commission</t>
        </is>
      </c>
      <c r="B10" s="8">
        <f>B7*Assumptions!$C$21*Assumptions!$C$22</f>
        <v/>
      </c>
      <c r="C10" s="8">
        <f>C7*Assumptions!$C$21*Assumptions!$C$22</f>
        <v/>
      </c>
      <c r="D10" s="8">
        <f>D7*Assumptions!$C$21*Assumptions!$C$22</f>
        <v/>
      </c>
      <c r="E10" s="8">
        <f>E7*Assumptions!$C$21*Assumptions!$C$22</f>
        <v/>
      </c>
      <c r="F10" s="8">
        <f>F7*Assumptions!$C$21*Assumptions!$C$22</f>
        <v/>
      </c>
      <c r="G10" s="8">
        <f>G7*Assumptions!$C$21*Assumptions!$C$22</f>
        <v/>
      </c>
      <c r="H10" s="8">
        <f>H7*Assumptions!$C$21*Assumptions!$C$22</f>
        <v/>
      </c>
      <c r="I10" s="8">
        <f>I7*Assumptions!$C$21*Assumptions!$C$22</f>
        <v/>
      </c>
      <c r="J10" s="8">
        <f>J7*Assumptions!$C$21*Assumptions!$C$22</f>
        <v/>
      </c>
      <c r="K10" s="8">
        <f>K7*Assumptions!$C$21*Assumptions!$C$22</f>
        <v/>
      </c>
      <c r="L10" s="8">
        <f>L7*Assumptions!$C$21*Assumptions!$C$22</f>
        <v/>
      </c>
      <c r="M10" s="8">
        <f>M7*Assumptions!$C$21*Assumptions!$C$22</f>
        <v/>
      </c>
      <c r="N10" s="4">
        <f>SUM(B10:M10)</f>
        <v/>
      </c>
    </row>
    <row r="11">
      <c r="A11" s="18" t="inlineStr">
        <is>
          <t>Royalty</t>
        </is>
      </c>
      <c r="B11" s="8">
        <f>B7*Assumptions!$C$23</f>
        <v/>
      </c>
      <c r="C11" s="8">
        <f>C7*Assumptions!$C$23</f>
        <v/>
      </c>
      <c r="D11" s="8">
        <f>D7*Assumptions!$C$23</f>
        <v/>
      </c>
      <c r="E11" s="8">
        <f>E7*Assumptions!$C$23</f>
        <v/>
      </c>
      <c r="F11" s="8">
        <f>F7*Assumptions!$C$23</f>
        <v/>
      </c>
      <c r="G11" s="8">
        <f>G7*Assumptions!$C$23</f>
        <v/>
      </c>
      <c r="H11" s="8">
        <f>H7*Assumptions!$C$23</f>
        <v/>
      </c>
      <c r="I11" s="8">
        <f>I7*Assumptions!$C$23</f>
        <v/>
      </c>
      <c r="J11" s="8">
        <f>J7*Assumptions!$C$23</f>
        <v/>
      </c>
      <c r="K11" s="8">
        <f>K7*Assumptions!$C$23</f>
        <v/>
      </c>
      <c r="L11" s="8">
        <f>L7*Assumptions!$C$23</f>
        <v/>
      </c>
      <c r="M11" s="8">
        <f>M7*Assumptions!$C$23</f>
        <v/>
      </c>
      <c r="N11" s="4">
        <f>SUM(B11:M11)</f>
        <v/>
      </c>
    </row>
    <row r="12">
      <c r="A12" s="18" t="inlineStr">
        <is>
          <t>Marketing / brand fund</t>
        </is>
      </c>
      <c r="B12" s="8">
        <f>B7*Assumptions!$C$24</f>
        <v/>
      </c>
      <c r="C12" s="8">
        <f>C7*Assumptions!$C$24</f>
        <v/>
      </c>
      <c r="D12" s="8">
        <f>D7*Assumptions!$C$24</f>
        <v/>
      </c>
      <c r="E12" s="8">
        <f>E7*Assumptions!$C$24</f>
        <v/>
      </c>
      <c r="F12" s="8">
        <f>F7*Assumptions!$C$24</f>
        <v/>
      </c>
      <c r="G12" s="8">
        <f>G7*Assumptions!$C$24</f>
        <v/>
      </c>
      <c r="H12" s="8">
        <f>H7*Assumptions!$C$24</f>
        <v/>
      </c>
      <c r="I12" s="8">
        <f>I7*Assumptions!$C$24</f>
        <v/>
      </c>
      <c r="J12" s="8">
        <f>J7*Assumptions!$C$24</f>
        <v/>
      </c>
      <c r="K12" s="8">
        <f>K7*Assumptions!$C$24</f>
        <v/>
      </c>
      <c r="L12" s="8">
        <f>L7*Assumptions!$C$24</f>
        <v/>
      </c>
      <c r="M12" s="8">
        <f>M7*Assumptions!$C$24</f>
        <v/>
      </c>
      <c r="N12" s="4">
        <f>SUM(B12:M12)</f>
        <v/>
      </c>
    </row>
    <row r="13">
      <c r="A13" s="18" t="inlineStr">
        <is>
          <t>Other variable opex</t>
        </is>
      </c>
      <c r="B13" s="8">
        <f>B7*Assumptions!$C$25</f>
        <v/>
      </c>
      <c r="C13" s="8">
        <f>C7*Assumptions!$C$25</f>
        <v/>
      </c>
      <c r="D13" s="8">
        <f>D7*Assumptions!$C$25</f>
        <v/>
      </c>
      <c r="E13" s="8">
        <f>E7*Assumptions!$C$25</f>
        <v/>
      </c>
      <c r="F13" s="8">
        <f>F7*Assumptions!$C$25</f>
        <v/>
      </c>
      <c r="G13" s="8">
        <f>G7*Assumptions!$C$25</f>
        <v/>
      </c>
      <c r="H13" s="8">
        <f>H7*Assumptions!$C$25</f>
        <v/>
      </c>
      <c r="I13" s="8">
        <f>I7*Assumptions!$C$25</f>
        <v/>
      </c>
      <c r="J13" s="8">
        <f>J7*Assumptions!$C$25</f>
        <v/>
      </c>
      <c r="K13" s="8">
        <f>K7*Assumptions!$C$25</f>
        <v/>
      </c>
      <c r="L13" s="8">
        <f>L7*Assumptions!$C$25</f>
        <v/>
      </c>
      <c r="M13" s="8">
        <f>M7*Assumptions!$C$25</f>
        <v/>
      </c>
      <c r="N13" s="4">
        <f>SUM(B13:M13)</f>
        <v/>
      </c>
    </row>
    <row r="14">
      <c r="A14" s="18" t="inlineStr">
        <is>
          <t>Rent</t>
        </is>
      </c>
      <c r="B14" s="8">
        <f>Assumptions!$C$27</f>
        <v/>
      </c>
      <c r="C14" s="8">
        <f>Assumptions!$C$27</f>
        <v/>
      </c>
      <c r="D14" s="8">
        <f>Assumptions!$C$27</f>
        <v/>
      </c>
      <c r="E14" s="8">
        <f>Assumptions!$C$27</f>
        <v/>
      </c>
      <c r="F14" s="8">
        <f>Assumptions!$C$27</f>
        <v/>
      </c>
      <c r="G14" s="8">
        <f>Assumptions!$C$27</f>
        <v/>
      </c>
      <c r="H14" s="8">
        <f>Assumptions!$C$27</f>
        <v/>
      </c>
      <c r="I14" s="8">
        <f>Assumptions!$C$27</f>
        <v/>
      </c>
      <c r="J14" s="8">
        <f>Assumptions!$C$27</f>
        <v/>
      </c>
      <c r="K14" s="8">
        <f>Assumptions!$C$27</f>
        <v/>
      </c>
      <c r="L14" s="8">
        <f>Assumptions!$C$27</f>
        <v/>
      </c>
      <c r="M14" s="8">
        <f>Assumptions!$C$27</f>
        <v/>
      </c>
      <c r="N14" s="4">
        <f>SUM(B14:M14)</f>
        <v/>
      </c>
    </row>
    <row r="15">
      <c r="A15" s="18" t="inlineStr">
        <is>
          <t>Staff</t>
        </is>
      </c>
      <c r="B15" s="8">
        <f>Assumptions!$C$28</f>
        <v/>
      </c>
      <c r="C15" s="8">
        <f>Assumptions!$C$28</f>
        <v/>
      </c>
      <c r="D15" s="8">
        <f>Assumptions!$C$28</f>
        <v/>
      </c>
      <c r="E15" s="8">
        <f>Assumptions!$C$28</f>
        <v/>
      </c>
      <c r="F15" s="8">
        <f>Assumptions!$C$28</f>
        <v/>
      </c>
      <c r="G15" s="8">
        <f>Assumptions!$C$28</f>
        <v/>
      </c>
      <c r="H15" s="8">
        <f>Assumptions!$C$28</f>
        <v/>
      </c>
      <c r="I15" s="8">
        <f>Assumptions!$C$28</f>
        <v/>
      </c>
      <c r="J15" s="8">
        <f>Assumptions!$C$28</f>
        <v/>
      </c>
      <c r="K15" s="8">
        <f>Assumptions!$C$28</f>
        <v/>
      </c>
      <c r="L15" s="8">
        <f>Assumptions!$C$28</f>
        <v/>
      </c>
      <c r="M15" s="8">
        <f>Assumptions!$C$28</f>
        <v/>
      </c>
      <c r="N15" s="4">
        <f>SUM(B15:M15)</f>
        <v/>
      </c>
    </row>
    <row r="16">
      <c r="A16" s="18" t="inlineStr">
        <is>
          <t>Utilities</t>
        </is>
      </c>
      <c r="B16" s="8">
        <f>Assumptions!$C$29</f>
        <v/>
      </c>
      <c r="C16" s="8">
        <f>Assumptions!$C$29</f>
        <v/>
      </c>
      <c r="D16" s="8">
        <f>Assumptions!$C$29</f>
        <v/>
      </c>
      <c r="E16" s="8">
        <f>Assumptions!$C$29</f>
        <v/>
      </c>
      <c r="F16" s="8">
        <f>Assumptions!$C$29</f>
        <v/>
      </c>
      <c r="G16" s="8">
        <f>Assumptions!$C$29</f>
        <v/>
      </c>
      <c r="H16" s="8">
        <f>Assumptions!$C$29</f>
        <v/>
      </c>
      <c r="I16" s="8">
        <f>Assumptions!$C$29</f>
        <v/>
      </c>
      <c r="J16" s="8">
        <f>Assumptions!$C$29</f>
        <v/>
      </c>
      <c r="K16" s="8">
        <f>Assumptions!$C$29</f>
        <v/>
      </c>
      <c r="L16" s="8">
        <f>Assumptions!$C$29</f>
        <v/>
      </c>
      <c r="M16" s="8">
        <f>Assumptions!$C$29</f>
        <v/>
      </c>
      <c r="N16" s="4">
        <f>SUM(B16:M16)</f>
        <v/>
      </c>
    </row>
    <row r="17">
      <c r="A17" s="18" t="inlineStr">
        <is>
          <t>Total operating costs (below gross profit)</t>
        </is>
      </c>
      <c r="B17" s="8">
        <f>SUM(B10:B16)</f>
        <v/>
      </c>
      <c r="C17" s="8">
        <f>SUM(C10:C16)</f>
        <v/>
      </c>
      <c r="D17" s="8">
        <f>SUM(D10:D16)</f>
        <v/>
      </c>
      <c r="E17" s="8">
        <f>SUM(E10:E16)</f>
        <v/>
      </c>
      <c r="F17" s="8">
        <f>SUM(F10:F16)</f>
        <v/>
      </c>
      <c r="G17" s="8">
        <f>SUM(G10:G16)</f>
        <v/>
      </c>
      <c r="H17" s="8">
        <f>SUM(H10:H16)</f>
        <v/>
      </c>
      <c r="I17" s="8">
        <f>SUM(I10:I16)</f>
        <v/>
      </c>
      <c r="J17" s="8">
        <f>SUM(J10:J16)</f>
        <v/>
      </c>
      <c r="K17" s="8">
        <f>SUM(K10:K16)</f>
        <v/>
      </c>
      <c r="L17" s="8">
        <f>SUM(L10:L16)</f>
        <v/>
      </c>
      <c r="M17" s="8">
        <f>SUM(M10:M16)</f>
        <v/>
      </c>
      <c r="N17" s="4">
        <f>SUM(B17:M17)</f>
        <v/>
      </c>
    </row>
    <row r="18">
      <c r="A18" s="7" t="inlineStr">
        <is>
          <t>EBITDA</t>
        </is>
      </c>
      <c r="B18" s="8">
        <f>B9-B17</f>
        <v/>
      </c>
      <c r="C18" s="8">
        <f>C9-C17</f>
        <v/>
      </c>
      <c r="D18" s="8">
        <f>D9-D17</f>
        <v/>
      </c>
      <c r="E18" s="8">
        <f>E9-E17</f>
        <v/>
      </c>
      <c r="F18" s="8">
        <f>F9-F17</f>
        <v/>
      </c>
      <c r="G18" s="8">
        <f>G9-G17</f>
        <v/>
      </c>
      <c r="H18" s="8">
        <f>H9-H17</f>
        <v/>
      </c>
      <c r="I18" s="8">
        <f>I9-I17</f>
        <v/>
      </c>
      <c r="J18" s="8">
        <f>J9-J17</f>
        <v/>
      </c>
      <c r="K18" s="8">
        <f>K9-K17</f>
        <v/>
      </c>
      <c r="L18" s="8">
        <f>L9-L17</f>
        <v/>
      </c>
      <c r="M18" s="8">
        <f>M9-M17</f>
        <v/>
      </c>
      <c r="N18" s="4">
        <f>SUM(B18:M18)</f>
        <v/>
      </c>
    </row>
    <row r="19">
      <c r="A19" s="18" t="inlineStr">
        <is>
          <t>EBITDA margin</t>
        </is>
      </c>
      <c r="B19" s="9">
        <f>IF(B7=0,0,B18/B7)</f>
        <v/>
      </c>
      <c r="C19" s="9">
        <f>IF(C7=0,0,C18/C7)</f>
        <v/>
      </c>
      <c r="D19" s="9">
        <f>IF(D7=0,0,D18/D7)</f>
        <v/>
      </c>
      <c r="E19" s="9">
        <f>IF(E7=0,0,E18/E7)</f>
        <v/>
      </c>
      <c r="F19" s="9">
        <f>IF(F7=0,0,F18/F7)</f>
        <v/>
      </c>
      <c r="G19" s="9">
        <f>IF(G7=0,0,G18/G7)</f>
        <v/>
      </c>
      <c r="H19" s="9">
        <f>IF(H7=0,0,H18/H7)</f>
        <v/>
      </c>
      <c r="I19" s="9">
        <f>IF(I7=0,0,I18/I7)</f>
        <v/>
      </c>
      <c r="J19" s="9">
        <f>IF(J7=0,0,J18/J7)</f>
        <v/>
      </c>
      <c r="K19" s="9">
        <f>IF(K7=0,0,K18/K7)</f>
        <v/>
      </c>
      <c r="L19" s="9">
        <f>IF(L7=0,0,L18/L7)</f>
        <v/>
      </c>
      <c r="M19" s="9">
        <f>IF(M7=0,0,M18/M7)</f>
        <v/>
      </c>
      <c r="N19" s="9">
        <f>IF(N7=0,0,N18/N7)</f>
        <v/>
      </c>
    </row>
    <row r="20">
      <c r="A20" s="7" t="inlineStr">
        <is>
          <t>Cumulative cash (after initial investment)</t>
        </is>
      </c>
      <c r="B20" s="8">
        <f>-Assumptions!$C$43+B18</f>
        <v/>
      </c>
      <c r="C20" s="8">
        <f>B20+C18</f>
        <v/>
      </c>
      <c r="D20" s="8">
        <f>C20+D18</f>
        <v/>
      </c>
      <c r="E20" s="8">
        <f>D20+E18</f>
        <v/>
      </c>
      <c r="F20" s="8">
        <f>E20+F18</f>
        <v/>
      </c>
      <c r="G20" s="8">
        <f>F20+G18</f>
        <v/>
      </c>
      <c r="H20" s="8">
        <f>G20+H18</f>
        <v/>
      </c>
      <c r="I20" s="8">
        <f>H20+I18</f>
        <v/>
      </c>
      <c r="J20" s="8">
        <f>I20+J18</f>
        <v/>
      </c>
      <c r="K20" s="8">
        <f>J20+K18</f>
        <v/>
      </c>
      <c r="L20" s="8">
        <f>K20+L18</f>
        <v/>
      </c>
      <c r="M20" s="8">
        <f>L20+M18</f>
        <v/>
      </c>
      <c r="N20" s="8">
        <f>M20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Payback: 36-month cash flow for the selected scenario and for ₹6L / ₹8L / ₹10L (₹ lakh)</t>
        </is>
      </c>
    </row>
    <row r="2" ht="45" customHeight="1">
      <c r="A2" s="2" t="inlineStr">
        <is>
          <t>Monthly EBITDA = sales × (1 − variable %) − fixed costs. Cumulative cash starts at minus the initial investment. Payback month = the first month cumulative cash is 0 or more (MATCH on the 'Paid back?' column). Pre-tax, ex-GST. Sales are flat after ramp-up (no growth assumed).</t>
        </is>
      </c>
    </row>
    <row r="4">
      <c r="A4" s="7" t="inlineStr">
        <is>
          <t>Steady-state monthly sales (₹ lakh)</t>
        </is>
      </c>
      <c r="C4" s="4">
        <f>Assumptions!$C$6</f>
        <v/>
      </c>
      <c r="F4" s="4" t="n">
        <v>6</v>
      </c>
      <c r="I4" s="4" t="n">
        <v>8</v>
      </c>
      <c r="L4" s="4" t="n">
        <v>10</v>
      </c>
    </row>
    <row r="5">
      <c r="A5" s="3" t="inlineStr">
        <is>
          <t>Month</t>
        </is>
      </c>
      <c r="B5" s="3" t="inlineStr">
        <is>
          <t>Ramp</t>
        </is>
      </c>
      <c r="C5" s="3" t="inlineStr">
        <is>
          <t>Selected sales</t>
        </is>
      </c>
      <c r="D5" s="3" t="inlineStr">
        <is>
          <t>Selected EBITDA</t>
        </is>
      </c>
      <c r="E5" s="3" t="inlineStr">
        <is>
          <t>Selected cumulative</t>
        </is>
      </c>
      <c r="F5" s="3" t="inlineStr">
        <is>
          <t>₹6L sales</t>
        </is>
      </c>
      <c r="G5" s="3" t="inlineStr">
        <is>
          <t>₹6L EBITDA</t>
        </is>
      </c>
      <c r="H5" s="3" t="inlineStr">
        <is>
          <t>₹6L cumulative</t>
        </is>
      </c>
      <c r="I5" s="3" t="inlineStr">
        <is>
          <t>₹8L sales</t>
        </is>
      </c>
      <c r="J5" s="3" t="inlineStr">
        <is>
          <t>₹8L EBITDA</t>
        </is>
      </c>
      <c r="K5" s="3" t="inlineStr">
        <is>
          <t>₹8L cumulative</t>
        </is>
      </c>
      <c r="L5" s="3" t="inlineStr">
        <is>
          <t>₹10L sales</t>
        </is>
      </c>
      <c r="M5" s="3" t="inlineStr">
        <is>
          <t>₹10L EBITDA</t>
        </is>
      </c>
      <c r="N5" s="3" t="inlineStr">
        <is>
          <t>₹10L cumulative</t>
        </is>
      </c>
      <c r="O5" s="3" t="inlineStr">
        <is>
          <t>Selected paid back?</t>
        </is>
      </c>
      <c r="P5" s="3" t="inlineStr">
        <is>
          <t>₹6L paid back?</t>
        </is>
      </c>
      <c r="Q5" s="3" t="inlineStr">
        <is>
          <t>₹8L paid back?</t>
        </is>
      </c>
      <c r="R5" s="3" t="inlineStr">
        <is>
          <t>₹10L paid back?</t>
        </is>
      </c>
    </row>
    <row r="6">
      <c r="A6" t="n">
        <v>1</v>
      </c>
      <c r="B6" s="9">
        <f>Assumptions!$C$13</f>
        <v/>
      </c>
      <c r="C6" s="8">
        <f>C$4*$B6</f>
        <v/>
      </c>
      <c r="D6" s="8">
        <f>C6*(1-Assumptions!$C$44)-Assumptions!$C$45</f>
        <v/>
      </c>
      <c r="E6" s="8">
        <f>-Assumptions!$C$43+D6</f>
        <v/>
      </c>
      <c r="F6" s="8">
        <f>F$4*$B6</f>
        <v/>
      </c>
      <c r="G6" s="8">
        <f>F6*(1-Assumptions!$C$44)-Assumptions!$C$45</f>
        <v/>
      </c>
      <c r="H6" s="8">
        <f>-Assumptions!$C$43+G6</f>
        <v/>
      </c>
      <c r="I6" s="8">
        <f>I$4*$B6</f>
        <v/>
      </c>
      <c r="J6" s="8">
        <f>I6*(1-Assumptions!$C$44)-Assumptions!$C$45</f>
        <v/>
      </c>
      <c r="K6" s="8">
        <f>-Assumptions!$C$43+J6</f>
        <v/>
      </c>
      <c r="L6" s="8">
        <f>L$4*$B6</f>
        <v/>
      </c>
      <c r="M6" s="8">
        <f>L6*(1-Assumptions!$C$44)-Assumptions!$C$45</f>
        <v/>
      </c>
      <c r="N6" s="8">
        <f>-Assumptions!$C$43+M6</f>
        <v/>
      </c>
      <c r="O6">
        <f>E6&gt;=0</f>
        <v/>
      </c>
      <c r="P6">
        <f>H6&gt;=0</f>
        <v/>
      </c>
      <c r="Q6">
        <f>K6&gt;=0</f>
        <v/>
      </c>
      <c r="R6">
        <f>N6&gt;=0</f>
        <v/>
      </c>
    </row>
    <row r="7">
      <c r="A7" t="n">
        <v>2</v>
      </c>
      <c r="B7" s="9">
        <f>Assumptions!$C$14</f>
        <v/>
      </c>
      <c r="C7" s="8">
        <f>C$4*$B7</f>
        <v/>
      </c>
      <c r="D7" s="8">
        <f>C7*(1-Assumptions!$C$44)-Assumptions!$C$45</f>
        <v/>
      </c>
      <c r="E7" s="8">
        <f>E6+D7</f>
        <v/>
      </c>
      <c r="F7" s="8">
        <f>F$4*$B7</f>
        <v/>
      </c>
      <c r="G7" s="8">
        <f>F7*(1-Assumptions!$C$44)-Assumptions!$C$45</f>
        <v/>
      </c>
      <c r="H7" s="8">
        <f>H6+G7</f>
        <v/>
      </c>
      <c r="I7" s="8">
        <f>I$4*$B7</f>
        <v/>
      </c>
      <c r="J7" s="8">
        <f>I7*(1-Assumptions!$C$44)-Assumptions!$C$45</f>
        <v/>
      </c>
      <c r="K7" s="8">
        <f>K6+J7</f>
        <v/>
      </c>
      <c r="L7" s="8">
        <f>L$4*$B7</f>
        <v/>
      </c>
      <c r="M7" s="8">
        <f>L7*(1-Assumptions!$C$44)-Assumptions!$C$45</f>
        <v/>
      </c>
      <c r="N7" s="8">
        <f>N6+M7</f>
        <v/>
      </c>
      <c r="O7">
        <f>E7&gt;=0</f>
        <v/>
      </c>
      <c r="P7">
        <f>H7&gt;=0</f>
        <v/>
      </c>
      <c r="Q7">
        <f>K7&gt;=0</f>
        <v/>
      </c>
      <c r="R7">
        <f>N7&gt;=0</f>
        <v/>
      </c>
    </row>
    <row r="8">
      <c r="A8" t="n">
        <v>3</v>
      </c>
      <c r="B8" s="9">
        <f>Assumptions!$C$15</f>
        <v/>
      </c>
      <c r="C8" s="8">
        <f>C$4*$B8</f>
        <v/>
      </c>
      <c r="D8" s="8">
        <f>C8*(1-Assumptions!$C$44)-Assumptions!$C$45</f>
        <v/>
      </c>
      <c r="E8" s="8">
        <f>E7+D8</f>
        <v/>
      </c>
      <c r="F8" s="8">
        <f>F$4*$B8</f>
        <v/>
      </c>
      <c r="G8" s="8">
        <f>F8*(1-Assumptions!$C$44)-Assumptions!$C$45</f>
        <v/>
      </c>
      <c r="H8" s="8">
        <f>H7+G8</f>
        <v/>
      </c>
      <c r="I8" s="8">
        <f>I$4*$B8</f>
        <v/>
      </c>
      <c r="J8" s="8">
        <f>I8*(1-Assumptions!$C$44)-Assumptions!$C$45</f>
        <v/>
      </c>
      <c r="K8" s="8">
        <f>K7+J8</f>
        <v/>
      </c>
      <c r="L8" s="8">
        <f>L$4*$B8</f>
        <v/>
      </c>
      <c r="M8" s="8">
        <f>L8*(1-Assumptions!$C$44)-Assumptions!$C$45</f>
        <v/>
      </c>
      <c r="N8" s="8">
        <f>N7+M8</f>
        <v/>
      </c>
      <c r="O8">
        <f>E8&gt;=0</f>
        <v/>
      </c>
      <c r="P8">
        <f>H8&gt;=0</f>
        <v/>
      </c>
      <c r="Q8">
        <f>K8&gt;=0</f>
        <v/>
      </c>
      <c r="R8">
        <f>N8&gt;=0</f>
        <v/>
      </c>
    </row>
    <row r="9">
      <c r="A9" t="n">
        <v>4</v>
      </c>
      <c r="B9" s="9">
        <f>Assumptions!$C$16</f>
        <v/>
      </c>
      <c r="C9" s="8">
        <f>C$4*$B9</f>
        <v/>
      </c>
      <c r="D9" s="8">
        <f>C9*(1-Assumptions!$C$44)-Assumptions!$C$45</f>
        <v/>
      </c>
      <c r="E9" s="8">
        <f>E8+D9</f>
        <v/>
      </c>
      <c r="F9" s="8">
        <f>F$4*$B9</f>
        <v/>
      </c>
      <c r="G9" s="8">
        <f>F9*(1-Assumptions!$C$44)-Assumptions!$C$45</f>
        <v/>
      </c>
      <c r="H9" s="8">
        <f>H8+G9</f>
        <v/>
      </c>
      <c r="I9" s="8">
        <f>I$4*$B9</f>
        <v/>
      </c>
      <c r="J9" s="8">
        <f>I9*(1-Assumptions!$C$44)-Assumptions!$C$45</f>
        <v/>
      </c>
      <c r="K9" s="8">
        <f>K8+J9</f>
        <v/>
      </c>
      <c r="L9" s="8">
        <f>L$4*$B9</f>
        <v/>
      </c>
      <c r="M9" s="8">
        <f>L9*(1-Assumptions!$C$44)-Assumptions!$C$45</f>
        <v/>
      </c>
      <c r="N9" s="8">
        <f>N8+M9</f>
        <v/>
      </c>
      <c r="O9">
        <f>E9&gt;=0</f>
        <v/>
      </c>
      <c r="P9">
        <f>H9&gt;=0</f>
        <v/>
      </c>
      <c r="Q9">
        <f>K9&gt;=0</f>
        <v/>
      </c>
      <c r="R9">
        <f>N9&gt;=0</f>
        <v/>
      </c>
    </row>
    <row r="10">
      <c r="A10" t="n">
        <v>5</v>
      </c>
      <c r="B10" s="9">
        <f>Assumptions!$C$17</f>
        <v/>
      </c>
      <c r="C10" s="8">
        <f>C$4*$B10</f>
        <v/>
      </c>
      <c r="D10" s="8">
        <f>C10*(1-Assumptions!$C$44)-Assumptions!$C$45</f>
        <v/>
      </c>
      <c r="E10" s="8">
        <f>E9+D10</f>
        <v/>
      </c>
      <c r="F10" s="8">
        <f>F$4*$B10</f>
        <v/>
      </c>
      <c r="G10" s="8">
        <f>F10*(1-Assumptions!$C$44)-Assumptions!$C$45</f>
        <v/>
      </c>
      <c r="H10" s="8">
        <f>H9+G10</f>
        <v/>
      </c>
      <c r="I10" s="8">
        <f>I$4*$B10</f>
        <v/>
      </c>
      <c r="J10" s="8">
        <f>I10*(1-Assumptions!$C$44)-Assumptions!$C$45</f>
        <v/>
      </c>
      <c r="K10" s="8">
        <f>K9+J10</f>
        <v/>
      </c>
      <c r="L10" s="8">
        <f>L$4*$B10</f>
        <v/>
      </c>
      <c r="M10" s="8">
        <f>L10*(1-Assumptions!$C$44)-Assumptions!$C$45</f>
        <v/>
      </c>
      <c r="N10" s="8">
        <f>N9+M10</f>
        <v/>
      </c>
      <c r="O10">
        <f>E10&gt;=0</f>
        <v/>
      </c>
      <c r="P10">
        <f>H10&gt;=0</f>
        <v/>
      </c>
      <c r="Q10">
        <f>K10&gt;=0</f>
        <v/>
      </c>
      <c r="R10">
        <f>N10&gt;=0</f>
        <v/>
      </c>
    </row>
    <row r="11">
      <c r="A11" t="n">
        <v>6</v>
      </c>
      <c r="B11" s="9">
        <f>Assumptions!$C$18</f>
        <v/>
      </c>
      <c r="C11" s="8">
        <f>C$4*$B11</f>
        <v/>
      </c>
      <c r="D11" s="8">
        <f>C11*(1-Assumptions!$C$44)-Assumptions!$C$45</f>
        <v/>
      </c>
      <c r="E11" s="8">
        <f>E10+D11</f>
        <v/>
      </c>
      <c r="F11" s="8">
        <f>F$4*$B11</f>
        <v/>
      </c>
      <c r="G11" s="8">
        <f>F11*(1-Assumptions!$C$44)-Assumptions!$C$45</f>
        <v/>
      </c>
      <c r="H11" s="8">
        <f>H10+G11</f>
        <v/>
      </c>
      <c r="I11" s="8">
        <f>I$4*$B11</f>
        <v/>
      </c>
      <c r="J11" s="8">
        <f>I11*(1-Assumptions!$C$44)-Assumptions!$C$45</f>
        <v/>
      </c>
      <c r="K11" s="8">
        <f>K10+J11</f>
        <v/>
      </c>
      <c r="L11" s="8">
        <f>L$4*$B11</f>
        <v/>
      </c>
      <c r="M11" s="8">
        <f>L11*(1-Assumptions!$C$44)-Assumptions!$C$45</f>
        <v/>
      </c>
      <c r="N11" s="8">
        <f>N10+M11</f>
        <v/>
      </c>
      <c r="O11">
        <f>E11&gt;=0</f>
        <v/>
      </c>
      <c r="P11">
        <f>H11&gt;=0</f>
        <v/>
      </c>
      <c r="Q11">
        <f>K11&gt;=0</f>
        <v/>
      </c>
      <c r="R11">
        <f>N11&gt;=0</f>
        <v/>
      </c>
    </row>
    <row r="12">
      <c r="A12" t="n">
        <v>7</v>
      </c>
      <c r="B12" s="9">
        <f>1</f>
        <v/>
      </c>
      <c r="C12" s="8">
        <f>C$4*$B12</f>
        <v/>
      </c>
      <c r="D12" s="8">
        <f>C12*(1-Assumptions!$C$44)-Assumptions!$C$45</f>
        <v/>
      </c>
      <c r="E12" s="8">
        <f>E11+D12</f>
        <v/>
      </c>
      <c r="F12" s="8">
        <f>F$4*$B12</f>
        <v/>
      </c>
      <c r="G12" s="8">
        <f>F12*(1-Assumptions!$C$44)-Assumptions!$C$45</f>
        <v/>
      </c>
      <c r="H12" s="8">
        <f>H11+G12</f>
        <v/>
      </c>
      <c r="I12" s="8">
        <f>I$4*$B12</f>
        <v/>
      </c>
      <c r="J12" s="8">
        <f>I12*(1-Assumptions!$C$44)-Assumptions!$C$45</f>
        <v/>
      </c>
      <c r="K12" s="8">
        <f>K11+J12</f>
        <v/>
      </c>
      <c r="L12" s="8">
        <f>L$4*$B12</f>
        <v/>
      </c>
      <c r="M12" s="8">
        <f>L12*(1-Assumptions!$C$44)-Assumptions!$C$45</f>
        <v/>
      </c>
      <c r="N12" s="8">
        <f>N11+M12</f>
        <v/>
      </c>
      <c r="O12">
        <f>E12&gt;=0</f>
        <v/>
      </c>
      <c r="P12">
        <f>H12&gt;=0</f>
        <v/>
      </c>
      <c r="Q12">
        <f>K12&gt;=0</f>
        <v/>
      </c>
      <c r="R12">
        <f>N12&gt;=0</f>
        <v/>
      </c>
    </row>
    <row r="13">
      <c r="A13" t="n">
        <v>8</v>
      </c>
      <c r="B13" s="9">
        <f>1</f>
        <v/>
      </c>
      <c r="C13" s="8">
        <f>C$4*$B13</f>
        <v/>
      </c>
      <c r="D13" s="8">
        <f>C13*(1-Assumptions!$C$44)-Assumptions!$C$45</f>
        <v/>
      </c>
      <c r="E13" s="8">
        <f>E12+D13</f>
        <v/>
      </c>
      <c r="F13" s="8">
        <f>F$4*$B13</f>
        <v/>
      </c>
      <c r="G13" s="8">
        <f>F13*(1-Assumptions!$C$44)-Assumptions!$C$45</f>
        <v/>
      </c>
      <c r="H13" s="8">
        <f>H12+G13</f>
        <v/>
      </c>
      <c r="I13" s="8">
        <f>I$4*$B13</f>
        <v/>
      </c>
      <c r="J13" s="8">
        <f>I13*(1-Assumptions!$C$44)-Assumptions!$C$45</f>
        <v/>
      </c>
      <c r="K13" s="8">
        <f>K12+J13</f>
        <v/>
      </c>
      <c r="L13" s="8">
        <f>L$4*$B13</f>
        <v/>
      </c>
      <c r="M13" s="8">
        <f>L13*(1-Assumptions!$C$44)-Assumptions!$C$45</f>
        <v/>
      </c>
      <c r="N13" s="8">
        <f>N12+M13</f>
        <v/>
      </c>
      <c r="O13">
        <f>E13&gt;=0</f>
        <v/>
      </c>
      <c r="P13">
        <f>H13&gt;=0</f>
        <v/>
      </c>
      <c r="Q13">
        <f>K13&gt;=0</f>
        <v/>
      </c>
      <c r="R13">
        <f>N13&gt;=0</f>
        <v/>
      </c>
    </row>
    <row r="14">
      <c r="A14" t="n">
        <v>9</v>
      </c>
      <c r="B14" s="9">
        <f>1</f>
        <v/>
      </c>
      <c r="C14" s="8">
        <f>C$4*$B14</f>
        <v/>
      </c>
      <c r="D14" s="8">
        <f>C14*(1-Assumptions!$C$44)-Assumptions!$C$45</f>
        <v/>
      </c>
      <c r="E14" s="8">
        <f>E13+D14</f>
        <v/>
      </c>
      <c r="F14" s="8">
        <f>F$4*$B14</f>
        <v/>
      </c>
      <c r="G14" s="8">
        <f>F14*(1-Assumptions!$C$44)-Assumptions!$C$45</f>
        <v/>
      </c>
      <c r="H14" s="8">
        <f>H13+G14</f>
        <v/>
      </c>
      <c r="I14" s="8">
        <f>I$4*$B14</f>
        <v/>
      </c>
      <c r="J14" s="8">
        <f>I14*(1-Assumptions!$C$44)-Assumptions!$C$45</f>
        <v/>
      </c>
      <c r="K14" s="8">
        <f>K13+J14</f>
        <v/>
      </c>
      <c r="L14" s="8">
        <f>L$4*$B14</f>
        <v/>
      </c>
      <c r="M14" s="8">
        <f>L14*(1-Assumptions!$C$44)-Assumptions!$C$45</f>
        <v/>
      </c>
      <c r="N14" s="8">
        <f>N13+M14</f>
        <v/>
      </c>
      <c r="O14">
        <f>E14&gt;=0</f>
        <v/>
      </c>
      <c r="P14">
        <f>H14&gt;=0</f>
        <v/>
      </c>
      <c r="Q14">
        <f>K14&gt;=0</f>
        <v/>
      </c>
      <c r="R14">
        <f>N14&gt;=0</f>
        <v/>
      </c>
    </row>
    <row r="15">
      <c r="A15" t="n">
        <v>10</v>
      </c>
      <c r="B15" s="9">
        <f>1</f>
        <v/>
      </c>
      <c r="C15" s="8">
        <f>C$4*$B15</f>
        <v/>
      </c>
      <c r="D15" s="8">
        <f>C15*(1-Assumptions!$C$44)-Assumptions!$C$45</f>
        <v/>
      </c>
      <c r="E15" s="8">
        <f>E14+D15</f>
        <v/>
      </c>
      <c r="F15" s="8">
        <f>F$4*$B15</f>
        <v/>
      </c>
      <c r="G15" s="8">
        <f>F15*(1-Assumptions!$C$44)-Assumptions!$C$45</f>
        <v/>
      </c>
      <c r="H15" s="8">
        <f>H14+G15</f>
        <v/>
      </c>
      <c r="I15" s="8">
        <f>I$4*$B15</f>
        <v/>
      </c>
      <c r="J15" s="8">
        <f>I15*(1-Assumptions!$C$44)-Assumptions!$C$45</f>
        <v/>
      </c>
      <c r="K15" s="8">
        <f>K14+J15</f>
        <v/>
      </c>
      <c r="L15" s="8">
        <f>L$4*$B15</f>
        <v/>
      </c>
      <c r="M15" s="8">
        <f>L15*(1-Assumptions!$C$44)-Assumptions!$C$45</f>
        <v/>
      </c>
      <c r="N15" s="8">
        <f>N14+M15</f>
        <v/>
      </c>
      <c r="O15">
        <f>E15&gt;=0</f>
        <v/>
      </c>
      <c r="P15">
        <f>H15&gt;=0</f>
        <v/>
      </c>
      <c r="Q15">
        <f>K15&gt;=0</f>
        <v/>
      </c>
      <c r="R15">
        <f>N15&gt;=0</f>
        <v/>
      </c>
    </row>
    <row r="16">
      <c r="A16" t="n">
        <v>11</v>
      </c>
      <c r="B16" s="9">
        <f>1</f>
        <v/>
      </c>
      <c r="C16" s="8">
        <f>C$4*$B16</f>
        <v/>
      </c>
      <c r="D16" s="8">
        <f>C16*(1-Assumptions!$C$44)-Assumptions!$C$45</f>
        <v/>
      </c>
      <c r="E16" s="8">
        <f>E15+D16</f>
        <v/>
      </c>
      <c r="F16" s="8">
        <f>F$4*$B16</f>
        <v/>
      </c>
      <c r="G16" s="8">
        <f>F16*(1-Assumptions!$C$44)-Assumptions!$C$45</f>
        <v/>
      </c>
      <c r="H16" s="8">
        <f>H15+G16</f>
        <v/>
      </c>
      <c r="I16" s="8">
        <f>I$4*$B16</f>
        <v/>
      </c>
      <c r="J16" s="8">
        <f>I16*(1-Assumptions!$C$44)-Assumptions!$C$45</f>
        <v/>
      </c>
      <c r="K16" s="8">
        <f>K15+J16</f>
        <v/>
      </c>
      <c r="L16" s="8">
        <f>L$4*$B16</f>
        <v/>
      </c>
      <c r="M16" s="8">
        <f>L16*(1-Assumptions!$C$44)-Assumptions!$C$45</f>
        <v/>
      </c>
      <c r="N16" s="8">
        <f>N15+M16</f>
        <v/>
      </c>
      <c r="O16">
        <f>E16&gt;=0</f>
        <v/>
      </c>
      <c r="P16">
        <f>H16&gt;=0</f>
        <v/>
      </c>
      <c r="Q16">
        <f>K16&gt;=0</f>
        <v/>
      </c>
      <c r="R16">
        <f>N16&gt;=0</f>
        <v/>
      </c>
    </row>
    <row r="17">
      <c r="A17" t="n">
        <v>12</v>
      </c>
      <c r="B17" s="9">
        <f>1</f>
        <v/>
      </c>
      <c r="C17" s="8">
        <f>C$4*$B17</f>
        <v/>
      </c>
      <c r="D17" s="8">
        <f>C17*(1-Assumptions!$C$44)-Assumptions!$C$45</f>
        <v/>
      </c>
      <c r="E17" s="8">
        <f>E16+D17</f>
        <v/>
      </c>
      <c r="F17" s="8">
        <f>F$4*$B17</f>
        <v/>
      </c>
      <c r="G17" s="8">
        <f>F17*(1-Assumptions!$C$44)-Assumptions!$C$45</f>
        <v/>
      </c>
      <c r="H17" s="8">
        <f>H16+G17</f>
        <v/>
      </c>
      <c r="I17" s="8">
        <f>I$4*$B17</f>
        <v/>
      </c>
      <c r="J17" s="8">
        <f>I17*(1-Assumptions!$C$44)-Assumptions!$C$45</f>
        <v/>
      </c>
      <c r="K17" s="8">
        <f>K16+J17</f>
        <v/>
      </c>
      <c r="L17" s="8">
        <f>L$4*$B17</f>
        <v/>
      </c>
      <c r="M17" s="8">
        <f>L17*(1-Assumptions!$C$44)-Assumptions!$C$45</f>
        <v/>
      </c>
      <c r="N17" s="8">
        <f>N16+M17</f>
        <v/>
      </c>
      <c r="O17">
        <f>E17&gt;=0</f>
        <v/>
      </c>
      <c r="P17">
        <f>H17&gt;=0</f>
        <v/>
      </c>
      <c r="Q17">
        <f>K17&gt;=0</f>
        <v/>
      </c>
      <c r="R17">
        <f>N17&gt;=0</f>
        <v/>
      </c>
    </row>
    <row r="18">
      <c r="A18" t="n">
        <v>13</v>
      </c>
      <c r="B18" s="9">
        <f>1</f>
        <v/>
      </c>
      <c r="C18" s="8">
        <f>C$4*$B18</f>
        <v/>
      </c>
      <c r="D18" s="8">
        <f>C18*(1-Assumptions!$C$44)-Assumptions!$C$45</f>
        <v/>
      </c>
      <c r="E18" s="8">
        <f>E17+D18</f>
        <v/>
      </c>
      <c r="F18" s="8">
        <f>F$4*$B18</f>
        <v/>
      </c>
      <c r="G18" s="8">
        <f>F18*(1-Assumptions!$C$44)-Assumptions!$C$45</f>
        <v/>
      </c>
      <c r="H18" s="8">
        <f>H17+G18</f>
        <v/>
      </c>
      <c r="I18" s="8">
        <f>I$4*$B18</f>
        <v/>
      </c>
      <c r="J18" s="8">
        <f>I18*(1-Assumptions!$C$44)-Assumptions!$C$45</f>
        <v/>
      </c>
      <c r="K18" s="8">
        <f>K17+J18</f>
        <v/>
      </c>
      <c r="L18" s="8">
        <f>L$4*$B18</f>
        <v/>
      </c>
      <c r="M18" s="8">
        <f>L18*(1-Assumptions!$C$44)-Assumptions!$C$45</f>
        <v/>
      </c>
      <c r="N18" s="8">
        <f>N17+M18</f>
        <v/>
      </c>
      <c r="O18">
        <f>E18&gt;=0</f>
        <v/>
      </c>
      <c r="P18">
        <f>H18&gt;=0</f>
        <v/>
      </c>
      <c r="Q18">
        <f>K18&gt;=0</f>
        <v/>
      </c>
      <c r="R18">
        <f>N18&gt;=0</f>
        <v/>
      </c>
    </row>
    <row r="19">
      <c r="A19" t="n">
        <v>14</v>
      </c>
      <c r="B19" s="9">
        <f>1</f>
        <v/>
      </c>
      <c r="C19" s="8">
        <f>C$4*$B19</f>
        <v/>
      </c>
      <c r="D19" s="8">
        <f>C19*(1-Assumptions!$C$44)-Assumptions!$C$45</f>
        <v/>
      </c>
      <c r="E19" s="8">
        <f>E18+D19</f>
        <v/>
      </c>
      <c r="F19" s="8">
        <f>F$4*$B19</f>
        <v/>
      </c>
      <c r="G19" s="8">
        <f>F19*(1-Assumptions!$C$44)-Assumptions!$C$45</f>
        <v/>
      </c>
      <c r="H19" s="8">
        <f>H18+G19</f>
        <v/>
      </c>
      <c r="I19" s="8">
        <f>I$4*$B19</f>
        <v/>
      </c>
      <c r="J19" s="8">
        <f>I19*(1-Assumptions!$C$44)-Assumptions!$C$45</f>
        <v/>
      </c>
      <c r="K19" s="8">
        <f>K18+J19</f>
        <v/>
      </c>
      <c r="L19" s="8">
        <f>L$4*$B19</f>
        <v/>
      </c>
      <c r="M19" s="8">
        <f>L19*(1-Assumptions!$C$44)-Assumptions!$C$45</f>
        <v/>
      </c>
      <c r="N19" s="8">
        <f>N18+M19</f>
        <v/>
      </c>
      <c r="O19">
        <f>E19&gt;=0</f>
        <v/>
      </c>
      <c r="P19">
        <f>H19&gt;=0</f>
        <v/>
      </c>
      <c r="Q19">
        <f>K19&gt;=0</f>
        <v/>
      </c>
      <c r="R19">
        <f>N19&gt;=0</f>
        <v/>
      </c>
    </row>
    <row r="20">
      <c r="A20" t="n">
        <v>15</v>
      </c>
      <c r="B20" s="9">
        <f>1</f>
        <v/>
      </c>
      <c r="C20" s="8">
        <f>C$4*$B20</f>
        <v/>
      </c>
      <c r="D20" s="8">
        <f>C20*(1-Assumptions!$C$44)-Assumptions!$C$45</f>
        <v/>
      </c>
      <c r="E20" s="8">
        <f>E19+D20</f>
        <v/>
      </c>
      <c r="F20" s="8">
        <f>F$4*$B20</f>
        <v/>
      </c>
      <c r="G20" s="8">
        <f>F20*(1-Assumptions!$C$44)-Assumptions!$C$45</f>
        <v/>
      </c>
      <c r="H20" s="8">
        <f>H19+G20</f>
        <v/>
      </c>
      <c r="I20" s="8">
        <f>I$4*$B20</f>
        <v/>
      </c>
      <c r="J20" s="8">
        <f>I20*(1-Assumptions!$C$44)-Assumptions!$C$45</f>
        <v/>
      </c>
      <c r="K20" s="8">
        <f>K19+J20</f>
        <v/>
      </c>
      <c r="L20" s="8">
        <f>L$4*$B20</f>
        <v/>
      </c>
      <c r="M20" s="8">
        <f>L20*(1-Assumptions!$C$44)-Assumptions!$C$45</f>
        <v/>
      </c>
      <c r="N20" s="8">
        <f>N19+M20</f>
        <v/>
      </c>
      <c r="O20">
        <f>E20&gt;=0</f>
        <v/>
      </c>
      <c r="P20">
        <f>H20&gt;=0</f>
        <v/>
      </c>
      <c r="Q20">
        <f>K20&gt;=0</f>
        <v/>
      </c>
      <c r="R20">
        <f>N20&gt;=0</f>
        <v/>
      </c>
    </row>
    <row r="21">
      <c r="A21" t="n">
        <v>16</v>
      </c>
      <c r="B21" s="9">
        <f>1</f>
        <v/>
      </c>
      <c r="C21" s="8">
        <f>C$4*$B21</f>
        <v/>
      </c>
      <c r="D21" s="8">
        <f>C21*(1-Assumptions!$C$44)-Assumptions!$C$45</f>
        <v/>
      </c>
      <c r="E21" s="8">
        <f>E20+D21</f>
        <v/>
      </c>
      <c r="F21" s="8">
        <f>F$4*$B21</f>
        <v/>
      </c>
      <c r="G21" s="8">
        <f>F21*(1-Assumptions!$C$44)-Assumptions!$C$45</f>
        <v/>
      </c>
      <c r="H21" s="8">
        <f>H20+G21</f>
        <v/>
      </c>
      <c r="I21" s="8">
        <f>I$4*$B21</f>
        <v/>
      </c>
      <c r="J21" s="8">
        <f>I21*(1-Assumptions!$C$44)-Assumptions!$C$45</f>
        <v/>
      </c>
      <c r="K21" s="8">
        <f>K20+J21</f>
        <v/>
      </c>
      <c r="L21" s="8">
        <f>L$4*$B21</f>
        <v/>
      </c>
      <c r="M21" s="8">
        <f>L21*(1-Assumptions!$C$44)-Assumptions!$C$45</f>
        <v/>
      </c>
      <c r="N21" s="8">
        <f>N20+M21</f>
        <v/>
      </c>
      <c r="O21">
        <f>E21&gt;=0</f>
        <v/>
      </c>
      <c r="P21">
        <f>H21&gt;=0</f>
        <v/>
      </c>
      <c r="Q21">
        <f>K21&gt;=0</f>
        <v/>
      </c>
      <c r="R21">
        <f>N21&gt;=0</f>
        <v/>
      </c>
    </row>
    <row r="22">
      <c r="A22" t="n">
        <v>17</v>
      </c>
      <c r="B22" s="9">
        <f>1</f>
        <v/>
      </c>
      <c r="C22" s="8">
        <f>C$4*$B22</f>
        <v/>
      </c>
      <c r="D22" s="8">
        <f>C22*(1-Assumptions!$C$44)-Assumptions!$C$45</f>
        <v/>
      </c>
      <c r="E22" s="8">
        <f>E21+D22</f>
        <v/>
      </c>
      <c r="F22" s="8">
        <f>F$4*$B22</f>
        <v/>
      </c>
      <c r="G22" s="8">
        <f>F22*(1-Assumptions!$C$44)-Assumptions!$C$45</f>
        <v/>
      </c>
      <c r="H22" s="8">
        <f>H21+G22</f>
        <v/>
      </c>
      <c r="I22" s="8">
        <f>I$4*$B22</f>
        <v/>
      </c>
      <c r="J22" s="8">
        <f>I22*(1-Assumptions!$C$44)-Assumptions!$C$45</f>
        <v/>
      </c>
      <c r="K22" s="8">
        <f>K21+J22</f>
        <v/>
      </c>
      <c r="L22" s="8">
        <f>L$4*$B22</f>
        <v/>
      </c>
      <c r="M22" s="8">
        <f>L22*(1-Assumptions!$C$44)-Assumptions!$C$45</f>
        <v/>
      </c>
      <c r="N22" s="8">
        <f>N21+M22</f>
        <v/>
      </c>
      <c r="O22">
        <f>E22&gt;=0</f>
        <v/>
      </c>
      <c r="P22">
        <f>H22&gt;=0</f>
        <v/>
      </c>
      <c r="Q22">
        <f>K22&gt;=0</f>
        <v/>
      </c>
      <c r="R22">
        <f>N22&gt;=0</f>
        <v/>
      </c>
    </row>
    <row r="23">
      <c r="A23" t="n">
        <v>18</v>
      </c>
      <c r="B23" s="9">
        <f>1</f>
        <v/>
      </c>
      <c r="C23" s="8">
        <f>C$4*$B23</f>
        <v/>
      </c>
      <c r="D23" s="8">
        <f>C23*(1-Assumptions!$C$44)-Assumptions!$C$45</f>
        <v/>
      </c>
      <c r="E23" s="8">
        <f>E22+D23</f>
        <v/>
      </c>
      <c r="F23" s="8">
        <f>F$4*$B23</f>
        <v/>
      </c>
      <c r="G23" s="8">
        <f>F23*(1-Assumptions!$C$44)-Assumptions!$C$45</f>
        <v/>
      </c>
      <c r="H23" s="8">
        <f>H22+G23</f>
        <v/>
      </c>
      <c r="I23" s="8">
        <f>I$4*$B23</f>
        <v/>
      </c>
      <c r="J23" s="8">
        <f>I23*(1-Assumptions!$C$44)-Assumptions!$C$45</f>
        <v/>
      </c>
      <c r="K23" s="8">
        <f>K22+J23</f>
        <v/>
      </c>
      <c r="L23" s="8">
        <f>L$4*$B23</f>
        <v/>
      </c>
      <c r="M23" s="8">
        <f>L23*(1-Assumptions!$C$44)-Assumptions!$C$45</f>
        <v/>
      </c>
      <c r="N23" s="8">
        <f>N22+M23</f>
        <v/>
      </c>
      <c r="O23">
        <f>E23&gt;=0</f>
        <v/>
      </c>
      <c r="P23">
        <f>H23&gt;=0</f>
        <v/>
      </c>
      <c r="Q23">
        <f>K23&gt;=0</f>
        <v/>
      </c>
      <c r="R23">
        <f>N23&gt;=0</f>
        <v/>
      </c>
    </row>
    <row r="24">
      <c r="A24" t="n">
        <v>19</v>
      </c>
      <c r="B24" s="9">
        <f>1</f>
        <v/>
      </c>
      <c r="C24" s="8">
        <f>C$4*$B24</f>
        <v/>
      </c>
      <c r="D24" s="8">
        <f>C24*(1-Assumptions!$C$44)-Assumptions!$C$45</f>
        <v/>
      </c>
      <c r="E24" s="8">
        <f>E23+D24</f>
        <v/>
      </c>
      <c r="F24" s="8">
        <f>F$4*$B24</f>
        <v/>
      </c>
      <c r="G24" s="8">
        <f>F24*(1-Assumptions!$C$44)-Assumptions!$C$45</f>
        <v/>
      </c>
      <c r="H24" s="8">
        <f>H23+G24</f>
        <v/>
      </c>
      <c r="I24" s="8">
        <f>I$4*$B24</f>
        <v/>
      </c>
      <c r="J24" s="8">
        <f>I24*(1-Assumptions!$C$44)-Assumptions!$C$45</f>
        <v/>
      </c>
      <c r="K24" s="8">
        <f>K23+J24</f>
        <v/>
      </c>
      <c r="L24" s="8">
        <f>L$4*$B24</f>
        <v/>
      </c>
      <c r="M24" s="8">
        <f>L24*(1-Assumptions!$C$44)-Assumptions!$C$45</f>
        <v/>
      </c>
      <c r="N24" s="8">
        <f>N23+M24</f>
        <v/>
      </c>
      <c r="O24">
        <f>E24&gt;=0</f>
        <v/>
      </c>
      <c r="P24">
        <f>H24&gt;=0</f>
        <v/>
      </c>
      <c r="Q24">
        <f>K24&gt;=0</f>
        <v/>
      </c>
      <c r="R24">
        <f>N24&gt;=0</f>
        <v/>
      </c>
    </row>
    <row r="25">
      <c r="A25" t="n">
        <v>20</v>
      </c>
      <c r="B25" s="9">
        <f>1</f>
        <v/>
      </c>
      <c r="C25" s="8">
        <f>C$4*$B25</f>
        <v/>
      </c>
      <c r="D25" s="8">
        <f>C25*(1-Assumptions!$C$44)-Assumptions!$C$45</f>
        <v/>
      </c>
      <c r="E25" s="8">
        <f>E24+D25</f>
        <v/>
      </c>
      <c r="F25" s="8">
        <f>F$4*$B25</f>
        <v/>
      </c>
      <c r="G25" s="8">
        <f>F25*(1-Assumptions!$C$44)-Assumptions!$C$45</f>
        <v/>
      </c>
      <c r="H25" s="8">
        <f>H24+G25</f>
        <v/>
      </c>
      <c r="I25" s="8">
        <f>I$4*$B25</f>
        <v/>
      </c>
      <c r="J25" s="8">
        <f>I25*(1-Assumptions!$C$44)-Assumptions!$C$45</f>
        <v/>
      </c>
      <c r="K25" s="8">
        <f>K24+J25</f>
        <v/>
      </c>
      <c r="L25" s="8">
        <f>L$4*$B25</f>
        <v/>
      </c>
      <c r="M25" s="8">
        <f>L25*(1-Assumptions!$C$44)-Assumptions!$C$45</f>
        <v/>
      </c>
      <c r="N25" s="8">
        <f>N24+M25</f>
        <v/>
      </c>
      <c r="O25">
        <f>E25&gt;=0</f>
        <v/>
      </c>
      <c r="P25">
        <f>H25&gt;=0</f>
        <v/>
      </c>
      <c r="Q25">
        <f>K25&gt;=0</f>
        <v/>
      </c>
      <c r="R25">
        <f>N25&gt;=0</f>
        <v/>
      </c>
    </row>
    <row r="26">
      <c r="A26" t="n">
        <v>21</v>
      </c>
      <c r="B26" s="9">
        <f>1</f>
        <v/>
      </c>
      <c r="C26" s="8">
        <f>C$4*$B26</f>
        <v/>
      </c>
      <c r="D26" s="8">
        <f>C26*(1-Assumptions!$C$44)-Assumptions!$C$45</f>
        <v/>
      </c>
      <c r="E26" s="8">
        <f>E25+D26</f>
        <v/>
      </c>
      <c r="F26" s="8">
        <f>F$4*$B26</f>
        <v/>
      </c>
      <c r="G26" s="8">
        <f>F26*(1-Assumptions!$C$44)-Assumptions!$C$45</f>
        <v/>
      </c>
      <c r="H26" s="8">
        <f>H25+G26</f>
        <v/>
      </c>
      <c r="I26" s="8">
        <f>I$4*$B26</f>
        <v/>
      </c>
      <c r="J26" s="8">
        <f>I26*(1-Assumptions!$C$44)-Assumptions!$C$45</f>
        <v/>
      </c>
      <c r="K26" s="8">
        <f>K25+J26</f>
        <v/>
      </c>
      <c r="L26" s="8">
        <f>L$4*$B26</f>
        <v/>
      </c>
      <c r="M26" s="8">
        <f>L26*(1-Assumptions!$C$44)-Assumptions!$C$45</f>
        <v/>
      </c>
      <c r="N26" s="8">
        <f>N25+M26</f>
        <v/>
      </c>
      <c r="O26">
        <f>E26&gt;=0</f>
        <v/>
      </c>
      <c r="P26">
        <f>H26&gt;=0</f>
        <v/>
      </c>
      <c r="Q26">
        <f>K26&gt;=0</f>
        <v/>
      </c>
      <c r="R26">
        <f>N26&gt;=0</f>
        <v/>
      </c>
    </row>
    <row r="27">
      <c r="A27" t="n">
        <v>22</v>
      </c>
      <c r="B27" s="9">
        <f>1</f>
        <v/>
      </c>
      <c r="C27" s="8">
        <f>C$4*$B27</f>
        <v/>
      </c>
      <c r="D27" s="8">
        <f>C27*(1-Assumptions!$C$44)-Assumptions!$C$45</f>
        <v/>
      </c>
      <c r="E27" s="8">
        <f>E26+D27</f>
        <v/>
      </c>
      <c r="F27" s="8">
        <f>F$4*$B27</f>
        <v/>
      </c>
      <c r="G27" s="8">
        <f>F27*(1-Assumptions!$C$44)-Assumptions!$C$45</f>
        <v/>
      </c>
      <c r="H27" s="8">
        <f>H26+G27</f>
        <v/>
      </c>
      <c r="I27" s="8">
        <f>I$4*$B27</f>
        <v/>
      </c>
      <c r="J27" s="8">
        <f>I27*(1-Assumptions!$C$44)-Assumptions!$C$45</f>
        <v/>
      </c>
      <c r="K27" s="8">
        <f>K26+J27</f>
        <v/>
      </c>
      <c r="L27" s="8">
        <f>L$4*$B27</f>
        <v/>
      </c>
      <c r="M27" s="8">
        <f>L27*(1-Assumptions!$C$44)-Assumptions!$C$45</f>
        <v/>
      </c>
      <c r="N27" s="8">
        <f>N26+M27</f>
        <v/>
      </c>
      <c r="O27">
        <f>E27&gt;=0</f>
        <v/>
      </c>
      <c r="P27">
        <f>H27&gt;=0</f>
        <v/>
      </c>
      <c r="Q27">
        <f>K27&gt;=0</f>
        <v/>
      </c>
      <c r="R27">
        <f>N27&gt;=0</f>
        <v/>
      </c>
    </row>
    <row r="28">
      <c r="A28" t="n">
        <v>23</v>
      </c>
      <c r="B28" s="9">
        <f>1</f>
        <v/>
      </c>
      <c r="C28" s="8">
        <f>C$4*$B28</f>
        <v/>
      </c>
      <c r="D28" s="8">
        <f>C28*(1-Assumptions!$C$44)-Assumptions!$C$45</f>
        <v/>
      </c>
      <c r="E28" s="8">
        <f>E27+D28</f>
        <v/>
      </c>
      <c r="F28" s="8">
        <f>F$4*$B28</f>
        <v/>
      </c>
      <c r="G28" s="8">
        <f>F28*(1-Assumptions!$C$44)-Assumptions!$C$45</f>
        <v/>
      </c>
      <c r="H28" s="8">
        <f>H27+G28</f>
        <v/>
      </c>
      <c r="I28" s="8">
        <f>I$4*$B28</f>
        <v/>
      </c>
      <c r="J28" s="8">
        <f>I28*(1-Assumptions!$C$44)-Assumptions!$C$45</f>
        <v/>
      </c>
      <c r="K28" s="8">
        <f>K27+J28</f>
        <v/>
      </c>
      <c r="L28" s="8">
        <f>L$4*$B28</f>
        <v/>
      </c>
      <c r="M28" s="8">
        <f>L28*(1-Assumptions!$C$44)-Assumptions!$C$45</f>
        <v/>
      </c>
      <c r="N28" s="8">
        <f>N27+M28</f>
        <v/>
      </c>
      <c r="O28">
        <f>E28&gt;=0</f>
        <v/>
      </c>
      <c r="P28">
        <f>H28&gt;=0</f>
        <v/>
      </c>
      <c r="Q28">
        <f>K28&gt;=0</f>
        <v/>
      </c>
      <c r="R28">
        <f>N28&gt;=0</f>
        <v/>
      </c>
    </row>
    <row r="29">
      <c r="A29" t="n">
        <v>24</v>
      </c>
      <c r="B29" s="9">
        <f>1</f>
        <v/>
      </c>
      <c r="C29" s="8">
        <f>C$4*$B29</f>
        <v/>
      </c>
      <c r="D29" s="8">
        <f>C29*(1-Assumptions!$C$44)-Assumptions!$C$45</f>
        <v/>
      </c>
      <c r="E29" s="8">
        <f>E28+D29</f>
        <v/>
      </c>
      <c r="F29" s="8">
        <f>F$4*$B29</f>
        <v/>
      </c>
      <c r="G29" s="8">
        <f>F29*(1-Assumptions!$C$44)-Assumptions!$C$45</f>
        <v/>
      </c>
      <c r="H29" s="8">
        <f>H28+G29</f>
        <v/>
      </c>
      <c r="I29" s="8">
        <f>I$4*$B29</f>
        <v/>
      </c>
      <c r="J29" s="8">
        <f>I29*(1-Assumptions!$C$44)-Assumptions!$C$45</f>
        <v/>
      </c>
      <c r="K29" s="8">
        <f>K28+J29</f>
        <v/>
      </c>
      <c r="L29" s="8">
        <f>L$4*$B29</f>
        <v/>
      </c>
      <c r="M29" s="8">
        <f>L29*(1-Assumptions!$C$44)-Assumptions!$C$45</f>
        <v/>
      </c>
      <c r="N29" s="8">
        <f>N28+M29</f>
        <v/>
      </c>
      <c r="O29">
        <f>E29&gt;=0</f>
        <v/>
      </c>
      <c r="P29">
        <f>H29&gt;=0</f>
        <v/>
      </c>
      <c r="Q29">
        <f>K29&gt;=0</f>
        <v/>
      </c>
      <c r="R29">
        <f>N29&gt;=0</f>
        <v/>
      </c>
    </row>
    <row r="30">
      <c r="A30" t="n">
        <v>25</v>
      </c>
      <c r="B30" s="9">
        <f>1</f>
        <v/>
      </c>
      <c r="C30" s="8">
        <f>C$4*$B30</f>
        <v/>
      </c>
      <c r="D30" s="8">
        <f>C30*(1-Assumptions!$C$44)-Assumptions!$C$45</f>
        <v/>
      </c>
      <c r="E30" s="8">
        <f>E29+D30</f>
        <v/>
      </c>
      <c r="F30" s="8">
        <f>F$4*$B30</f>
        <v/>
      </c>
      <c r="G30" s="8">
        <f>F30*(1-Assumptions!$C$44)-Assumptions!$C$45</f>
        <v/>
      </c>
      <c r="H30" s="8">
        <f>H29+G30</f>
        <v/>
      </c>
      <c r="I30" s="8">
        <f>I$4*$B30</f>
        <v/>
      </c>
      <c r="J30" s="8">
        <f>I30*(1-Assumptions!$C$44)-Assumptions!$C$45</f>
        <v/>
      </c>
      <c r="K30" s="8">
        <f>K29+J30</f>
        <v/>
      </c>
      <c r="L30" s="8">
        <f>L$4*$B30</f>
        <v/>
      </c>
      <c r="M30" s="8">
        <f>L30*(1-Assumptions!$C$44)-Assumptions!$C$45</f>
        <v/>
      </c>
      <c r="N30" s="8">
        <f>N29+M30</f>
        <v/>
      </c>
      <c r="O30">
        <f>E30&gt;=0</f>
        <v/>
      </c>
      <c r="P30">
        <f>H30&gt;=0</f>
        <v/>
      </c>
      <c r="Q30">
        <f>K30&gt;=0</f>
        <v/>
      </c>
      <c r="R30">
        <f>N30&gt;=0</f>
        <v/>
      </c>
    </row>
    <row r="31">
      <c r="A31" t="n">
        <v>26</v>
      </c>
      <c r="B31" s="9">
        <f>1</f>
        <v/>
      </c>
      <c r="C31" s="8">
        <f>C$4*$B31</f>
        <v/>
      </c>
      <c r="D31" s="8">
        <f>C31*(1-Assumptions!$C$44)-Assumptions!$C$45</f>
        <v/>
      </c>
      <c r="E31" s="8">
        <f>E30+D31</f>
        <v/>
      </c>
      <c r="F31" s="8">
        <f>F$4*$B31</f>
        <v/>
      </c>
      <c r="G31" s="8">
        <f>F31*(1-Assumptions!$C$44)-Assumptions!$C$45</f>
        <v/>
      </c>
      <c r="H31" s="8">
        <f>H30+G31</f>
        <v/>
      </c>
      <c r="I31" s="8">
        <f>I$4*$B31</f>
        <v/>
      </c>
      <c r="J31" s="8">
        <f>I31*(1-Assumptions!$C$44)-Assumptions!$C$45</f>
        <v/>
      </c>
      <c r="K31" s="8">
        <f>K30+J31</f>
        <v/>
      </c>
      <c r="L31" s="8">
        <f>L$4*$B31</f>
        <v/>
      </c>
      <c r="M31" s="8">
        <f>L31*(1-Assumptions!$C$44)-Assumptions!$C$45</f>
        <v/>
      </c>
      <c r="N31" s="8">
        <f>N30+M31</f>
        <v/>
      </c>
      <c r="O31">
        <f>E31&gt;=0</f>
        <v/>
      </c>
      <c r="P31">
        <f>H31&gt;=0</f>
        <v/>
      </c>
      <c r="Q31">
        <f>K31&gt;=0</f>
        <v/>
      </c>
      <c r="R31">
        <f>N31&gt;=0</f>
        <v/>
      </c>
    </row>
    <row r="32">
      <c r="A32" t="n">
        <v>27</v>
      </c>
      <c r="B32" s="9">
        <f>1</f>
        <v/>
      </c>
      <c r="C32" s="8">
        <f>C$4*$B32</f>
        <v/>
      </c>
      <c r="D32" s="8">
        <f>C32*(1-Assumptions!$C$44)-Assumptions!$C$45</f>
        <v/>
      </c>
      <c r="E32" s="8">
        <f>E31+D32</f>
        <v/>
      </c>
      <c r="F32" s="8">
        <f>F$4*$B32</f>
        <v/>
      </c>
      <c r="G32" s="8">
        <f>F32*(1-Assumptions!$C$44)-Assumptions!$C$45</f>
        <v/>
      </c>
      <c r="H32" s="8">
        <f>H31+G32</f>
        <v/>
      </c>
      <c r="I32" s="8">
        <f>I$4*$B32</f>
        <v/>
      </c>
      <c r="J32" s="8">
        <f>I32*(1-Assumptions!$C$44)-Assumptions!$C$45</f>
        <v/>
      </c>
      <c r="K32" s="8">
        <f>K31+J32</f>
        <v/>
      </c>
      <c r="L32" s="8">
        <f>L$4*$B32</f>
        <v/>
      </c>
      <c r="M32" s="8">
        <f>L32*(1-Assumptions!$C$44)-Assumptions!$C$45</f>
        <v/>
      </c>
      <c r="N32" s="8">
        <f>N31+M32</f>
        <v/>
      </c>
      <c r="O32">
        <f>E32&gt;=0</f>
        <v/>
      </c>
      <c r="P32">
        <f>H32&gt;=0</f>
        <v/>
      </c>
      <c r="Q32">
        <f>K32&gt;=0</f>
        <v/>
      </c>
      <c r="R32">
        <f>N32&gt;=0</f>
        <v/>
      </c>
    </row>
    <row r="33">
      <c r="A33" t="n">
        <v>28</v>
      </c>
      <c r="B33" s="9">
        <f>1</f>
        <v/>
      </c>
      <c r="C33" s="8">
        <f>C$4*$B33</f>
        <v/>
      </c>
      <c r="D33" s="8">
        <f>C33*(1-Assumptions!$C$44)-Assumptions!$C$45</f>
        <v/>
      </c>
      <c r="E33" s="8">
        <f>E32+D33</f>
        <v/>
      </c>
      <c r="F33" s="8">
        <f>F$4*$B33</f>
        <v/>
      </c>
      <c r="G33" s="8">
        <f>F33*(1-Assumptions!$C$44)-Assumptions!$C$45</f>
        <v/>
      </c>
      <c r="H33" s="8">
        <f>H32+G33</f>
        <v/>
      </c>
      <c r="I33" s="8">
        <f>I$4*$B33</f>
        <v/>
      </c>
      <c r="J33" s="8">
        <f>I33*(1-Assumptions!$C$44)-Assumptions!$C$45</f>
        <v/>
      </c>
      <c r="K33" s="8">
        <f>K32+J33</f>
        <v/>
      </c>
      <c r="L33" s="8">
        <f>L$4*$B33</f>
        <v/>
      </c>
      <c r="M33" s="8">
        <f>L33*(1-Assumptions!$C$44)-Assumptions!$C$45</f>
        <v/>
      </c>
      <c r="N33" s="8">
        <f>N32+M33</f>
        <v/>
      </c>
      <c r="O33">
        <f>E33&gt;=0</f>
        <v/>
      </c>
      <c r="P33">
        <f>H33&gt;=0</f>
        <v/>
      </c>
      <c r="Q33">
        <f>K33&gt;=0</f>
        <v/>
      </c>
      <c r="R33">
        <f>N33&gt;=0</f>
        <v/>
      </c>
    </row>
    <row r="34">
      <c r="A34" t="n">
        <v>29</v>
      </c>
      <c r="B34" s="9">
        <f>1</f>
        <v/>
      </c>
      <c r="C34" s="8">
        <f>C$4*$B34</f>
        <v/>
      </c>
      <c r="D34" s="8">
        <f>C34*(1-Assumptions!$C$44)-Assumptions!$C$45</f>
        <v/>
      </c>
      <c r="E34" s="8">
        <f>E33+D34</f>
        <v/>
      </c>
      <c r="F34" s="8">
        <f>F$4*$B34</f>
        <v/>
      </c>
      <c r="G34" s="8">
        <f>F34*(1-Assumptions!$C$44)-Assumptions!$C$45</f>
        <v/>
      </c>
      <c r="H34" s="8">
        <f>H33+G34</f>
        <v/>
      </c>
      <c r="I34" s="8">
        <f>I$4*$B34</f>
        <v/>
      </c>
      <c r="J34" s="8">
        <f>I34*(1-Assumptions!$C$44)-Assumptions!$C$45</f>
        <v/>
      </c>
      <c r="K34" s="8">
        <f>K33+J34</f>
        <v/>
      </c>
      <c r="L34" s="8">
        <f>L$4*$B34</f>
        <v/>
      </c>
      <c r="M34" s="8">
        <f>L34*(1-Assumptions!$C$44)-Assumptions!$C$45</f>
        <v/>
      </c>
      <c r="N34" s="8">
        <f>N33+M34</f>
        <v/>
      </c>
      <c r="O34">
        <f>E34&gt;=0</f>
        <v/>
      </c>
      <c r="P34">
        <f>H34&gt;=0</f>
        <v/>
      </c>
      <c r="Q34">
        <f>K34&gt;=0</f>
        <v/>
      </c>
      <c r="R34">
        <f>N34&gt;=0</f>
        <v/>
      </c>
    </row>
    <row r="35">
      <c r="A35" t="n">
        <v>30</v>
      </c>
      <c r="B35" s="9">
        <f>1</f>
        <v/>
      </c>
      <c r="C35" s="8">
        <f>C$4*$B35</f>
        <v/>
      </c>
      <c r="D35" s="8">
        <f>C35*(1-Assumptions!$C$44)-Assumptions!$C$45</f>
        <v/>
      </c>
      <c r="E35" s="8">
        <f>E34+D35</f>
        <v/>
      </c>
      <c r="F35" s="8">
        <f>F$4*$B35</f>
        <v/>
      </c>
      <c r="G35" s="8">
        <f>F35*(1-Assumptions!$C$44)-Assumptions!$C$45</f>
        <v/>
      </c>
      <c r="H35" s="8">
        <f>H34+G35</f>
        <v/>
      </c>
      <c r="I35" s="8">
        <f>I$4*$B35</f>
        <v/>
      </c>
      <c r="J35" s="8">
        <f>I35*(1-Assumptions!$C$44)-Assumptions!$C$45</f>
        <v/>
      </c>
      <c r="K35" s="8">
        <f>K34+J35</f>
        <v/>
      </c>
      <c r="L35" s="8">
        <f>L$4*$B35</f>
        <v/>
      </c>
      <c r="M35" s="8">
        <f>L35*(1-Assumptions!$C$44)-Assumptions!$C$45</f>
        <v/>
      </c>
      <c r="N35" s="8">
        <f>N34+M35</f>
        <v/>
      </c>
      <c r="O35">
        <f>E35&gt;=0</f>
        <v/>
      </c>
      <c r="P35">
        <f>H35&gt;=0</f>
        <v/>
      </c>
      <c r="Q35">
        <f>K35&gt;=0</f>
        <v/>
      </c>
      <c r="R35">
        <f>N35&gt;=0</f>
        <v/>
      </c>
    </row>
    <row r="36">
      <c r="A36" t="n">
        <v>31</v>
      </c>
      <c r="B36" s="9">
        <f>1</f>
        <v/>
      </c>
      <c r="C36" s="8">
        <f>C$4*$B36</f>
        <v/>
      </c>
      <c r="D36" s="8">
        <f>C36*(1-Assumptions!$C$44)-Assumptions!$C$45</f>
        <v/>
      </c>
      <c r="E36" s="8">
        <f>E35+D36</f>
        <v/>
      </c>
      <c r="F36" s="8">
        <f>F$4*$B36</f>
        <v/>
      </c>
      <c r="G36" s="8">
        <f>F36*(1-Assumptions!$C$44)-Assumptions!$C$45</f>
        <v/>
      </c>
      <c r="H36" s="8">
        <f>H35+G36</f>
        <v/>
      </c>
      <c r="I36" s="8">
        <f>I$4*$B36</f>
        <v/>
      </c>
      <c r="J36" s="8">
        <f>I36*(1-Assumptions!$C$44)-Assumptions!$C$45</f>
        <v/>
      </c>
      <c r="K36" s="8">
        <f>K35+J36</f>
        <v/>
      </c>
      <c r="L36" s="8">
        <f>L$4*$B36</f>
        <v/>
      </c>
      <c r="M36" s="8">
        <f>L36*(1-Assumptions!$C$44)-Assumptions!$C$45</f>
        <v/>
      </c>
      <c r="N36" s="8">
        <f>N35+M36</f>
        <v/>
      </c>
      <c r="O36">
        <f>E36&gt;=0</f>
        <v/>
      </c>
      <c r="P36">
        <f>H36&gt;=0</f>
        <v/>
      </c>
      <c r="Q36">
        <f>K36&gt;=0</f>
        <v/>
      </c>
      <c r="R36">
        <f>N36&gt;=0</f>
        <v/>
      </c>
    </row>
    <row r="37">
      <c r="A37" t="n">
        <v>32</v>
      </c>
      <c r="B37" s="9">
        <f>1</f>
        <v/>
      </c>
      <c r="C37" s="8">
        <f>C$4*$B37</f>
        <v/>
      </c>
      <c r="D37" s="8">
        <f>C37*(1-Assumptions!$C$44)-Assumptions!$C$45</f>
        <v/>
      </c>
      <c r="E37" s="8">
        <f>E36+D37</f>
        <v/>
      </c>
      <c r="F37" s="8">
        <f>F$4*$B37</f>
        <v/>
      </c>
      <c r="G37" s="8">
        <f>F37*(1-Assumptions!$C$44)-Assumptions!$C$45</f>
        <v/>
      </c>
      <c r="H37" s="8">
        <f>H36+G37</f>
        <v/>
      </c>
      <c r="I37" s="8">
        <f>I$4*$B37</f>
        <v/>
      </c>
      <c r="J37" s="8">
        <f>I37*(1-Assumptions!$C$44)-Assumptions!$C$45</f>
        <v/>
      </c>
      <c r="K37" s="8">
        <f>K36+J37</f>
        <v/>
      </c>
      <c r="L37" s="8">
        <f>L$4*$B37</f>
        <v/>
      </c>
      <c r="M37" s="8">
        <f>L37*(1-Assumptions!$C$44)-Assumptions!$C$45</f>
        <v/>
      </c>
      <c r="N37" s="8">
        <f>N36+M37</f>
        <v/>
      </c>
      <c r="O37">
        <f>E37&gt;=0</f>
        <v/>
      </c>
      <c r="P37">
        <f>H37&gt;=0</f>
        <v/>
      </c>
      <c r="Q37">
        <f>K37&gt;=0</f>
        <v/>
      </c>
      <c r="R37">
        <f>N37&gt;=0</f>
        <v/>
      </c>
    </row>
    <row r="38">
      <c r="A38" t="n">
        <v>33</v>
      </c>
      <c r="B38" s="9">
        <f>1</f>
        <v/>
      </c>
      <c r="C38" s="8">
        <f>C$4*$B38</f>
        <v/>
      </c>
      <c r="D38" s="8">
        <f>C38*(1-Assumptions!$C$44)-Assumptions!$C$45</f>
        <v/>
      </c>
      <c r="E38" s="8">
        <f>E37+D38</f>
        <v/>
      </c>
      <c r="F38" s="8">
        <f>F$4*$B38</f>
        <v/>
      </c>
      <c r="G38" s="8">
        <f>F38*(1-Assumptions!$C$44)-Assumptions!$C$45</f>
        <v/>
      </c>
      <c r="H38" s="8">
        <f>H37+G38</f>
        <v/>
      </c>
      <c r="I38" s="8">
        <f>I$4*$B38</f>
        <v/>
      </c>
      <c r="J38" s="8">
        <f>I38*(1-Assumptions!$C$44)-Assumptions!$C$45</f>
        <v/>
      </c>
      <c r="K38" s="8">
        <f>K37+J38</f>
        <v/>
      </c>
      <c r="L38" s="8">
        <f>L$4*$B38</f>
        <v/>
      </c>
      <c r="M38" s="8">
        <f>L38*(1-Assumptions!$C$44)-Assumptions!$C$45</f>
        <v/>
      </c>
      <c r="N38" s="8">
        <f>N37+M38</f>
        <v/>
      </c>
      <c r="O38">
        <f>E38&gt;=0</f>
        <v/>
      </c>
      <c r="P38">
        <f>H38&gt;=0</f>
        <v/>
      </c>
      <c r="Q38">
        <f>K38&gt;=0</f>
        <v/>
      </c>
      <c r="R38">
        <f>N38&gt;=0</f>
        <v/>
      </c>
    </row>
    <row r="39">
      <c r="A39" t="n">
        <v>34</v>
      </c>
      <c r="B39" s="9">
        <f>1</f>
        <v/>
      </c>
      <c r="C39" s="8">
        <f>C$4*$B39</f>
        <v/>
      </c>
      <c r="D39" s="8">
        <f>C39*(1-Assumptions!$C$44)-Assumptions!$C$45</f>
        <v/>
      </c>
      <c r="E39" s="8">
        <f>E38+D39</f>
        <v/>
      </c>
      <c r="F39" s="8">
        <f>F$4*$B39</f>
        <v/>
      </c>
      <c r="G39" s="8">
        <f>F39*(1-Assumptions!$C$44)-Assumptions!$C$45</f>
        <v/>
      </c>
      <c r="H39" s="8">
        <f>H38+G39</f>
        <v/>
      </c>
      <c r="I39" s="8">
        <f>I$4*$B39</f>
        <v/>
      </c>
      <c r="J39" s="8">
        <f>I39*(1-Assumptions!$C$44)-Assumptions!$C$45</f>
        <v/>
      </c>
      <c r="K39" s="8">
        <f>K38+J39</f>
        <v/>
      </c>
      <c r="L39" s="8">
        <f>L$4*$B39</f>
        <v/>
      </c>
      <c r="M39" s="8">
        <f>L39*(1-Assumptions!$C$44)-Assumptions!$C$45</f>
        <v/>
      </c>
      <c r="N39" s="8">
        <f>N38+M39</f>
        <v/>
      </c>
      <c r="O39">
        <f>E39&gt;=0</f>
        <v/>
      </c>
      <c r="P39">
        <f>H39&gt;=0</f>
        <v/>
      </c>
      <c r="Q39">
        <f>K39&gt;=0</f>
        <v/>
      </c>
      <c r="R39">
        <f>N39&gt;=0</f>
        <v/>
      </c>
    </row>
    <row r="40">
      <c r="A40" t="n">
        <v>35</v>
      </c>
      <c r="B40" s="9">
        <f>1</f>
        <v/>
      </c>
      <c r="C40" s="8">
        <f>C$4*$B40</f>
        <v/>
      </c>
      <c r="D40" s="8">
        <f>C40*(1-Assumptions!$C$44)-Assumptions!$C$45</f>
        <v/>
      </c>
      <c r="E40" s="8">
        <f>E39+D40</f>
        <v/>
      </c>
      <c r="F40" s="8">
        <f>F$4*$B40</f>
        <v/>
      </c>
      <c r="G40" s="8">
        <f>F40*(1-Assumptions!$C$44)-Assumptions!$C$45</f>
        <v/>
      </c>
      <c r="H40" s="8">
        <f>H39+G40</f>
        <v/>
      </c>
      <c r="I40" s="8">
        <f>I$4*$B40</f>
        <v/>
      </c>
      <c r="J40" s="8">
        <f>I40*(1-Assumptions!$C$44)-Assumptions!$C$45</f>
        <v/>
      </c>
      <c r="K40" s="8">
        <f>K39+J40</f>
        <v/>
      </c>
      <c r="L40" s="8">
        <f>L$4*$B40</f>
        <v/>
      </c>
      <c r="M40" s="8">
        <f>L40*(1-Assumptions!$C$44)-Assumptions!$C$45</f>
        <v/>
      </c>
      <c r="N40" s="8">
        <f>N39+M40</f>
        <v/>
      </c>
      <c r="O40">
        <f>E40&gt;=0</f>
        <v/>
      </c>
      <c r="P40">
        <f>H40&gt;=0</f>
        <v/>
      </c>
      <c r="Q40">
        <f>K40&gt;=0</f>
        <v/>
      </c>
      <c r="R40">
        <f>N40&gt;=0</f>
        <v/>
      </c>
    </row>
    <row r="41">
      <c r="A41" t="n">
        <v>36</v>
      </c>
      <c r="B41" s="9">
        <f>1</f>
        <v/>
      </c>
      <c r="C41" s="8">
        <f>C$4*$B41</f>
        <v/>
      </c>
      <c r="D41" s="8">
        <f>C41*(1-Assumptions!$C$44)-Assumptions!$C$45</f>
        <v/>
      </c>
      <c r="E41" s="8">
        <f>E40+D41</f>
        <v/>
      </c>
      <c r="F41" s="8">
        <f>F$4*$B41</f>
        <v/>
      </c>
      <c r="G41" s="8">
        <f>F41*(1-Assumptions!$C$44)-Assumptions!$C$45</f>
        <v/>
      </c>
      <c r="H41" s="8">
        <f>H40+G41</f>
        <v/>
      </c>
      <c r="I41" s="8">
        <f>I$4*$B41</f>
        <v/>
      </c>
      <c r="J41" s="8">
        <f>I41*(1-Assumptions!$C$44)-Assumptions!$C$45</f>
        <v/>
      </c>
      <c r="K41" s="8">
        <f>K40+J41</f>
        <v/>
      </c>
      <c r="L41" s="8">
        <f>L$4*$B41</f>
        <v/>
      </c>
      <c r="M41" s="8">
        <f>L41*(1-Assumptions!$C$44)-Assumptions!$C$45</f>
        <v/>
      </c>
      <c r="N41" s="8">
        <f>N40+M41</f>
        <v/>
      </c>
      <c r="O41">
        <f>E41&gt;=0</f>
        <v/>
      </c>
      <c r="P41">
        <f>H41&gt;=0</f>
        <v/>
      </c>
      <c r="Q41">
        <f>K41&gt;=0</f>
        <v/>
      </c>
      <c r="R41">
        <f>N41&gt;=0</f>
        <v/>
      </c>
    </row>
    <row r="43">
      <c r="A43" s="7" t="inlineStr">
        <is>
          <t>Payback month (first month cumulative ≥ 0)</t>
        </is>
      </c>
      <c r="C43" s="7">
        <f>IFERROR(MATCH(TRUE,O6:O41,0),"&gt; 36")</f>
        <v/>
      </c>
      <c r="F43" s="7">
        <f>IFERROR(MATCH(TRUE,P6:P41,0),"&gt; 36")</f>
        <v/>
      </c>
      <c r="I43" s="7">
        <f>IFERROR(MATCH(TRUE,Q6:Q41,0),"&gt; 36")</f>
        <v/>
      </c>
      <c r="L43" s="7">
        <f>IFERROR(MATCH(TRUE,R6:R41,0),"&gt; 36")</f>
        <v/>
      </c>
    </row>
    <row r="44">
      <c r="A44" t="inlineStr">
        <is>
          <t>Cumulative cash at month 36</t>
        </is>
      </c>
      <c r="C44" s="8">
        <f>E41</f>
        <v/>
      </c>
      <c r="F44" s="8">
        <f>H41</f>
        <v/>
      </c>
      <c r="I44" s="8">
        <f>K41</f>
        <v/>
      </c>
      <c r="L44" s="8">
        <f>N41</f>
        <v/>
      </c>
    </row>
  </sheetData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Sensitivity: ₹6L / ₹8L / ₹10L steady-state monthly sales per outlet</t>
        </is>
      </c>
    </row>
    <row r="2">
      <c r="A2" s="17" t="inlineStr">
        <is>
          <t>Same costs in every column; only sales change. Each figure is a direct formula on the Payback tab, not a pasted value.</t>
        </is>
      </c>
    </row>
    <row r="4">
      <c r="A4" s="3" t="inlineStr">
        <is>
          <t>Metric</t>
        </is>
      </c>
      <c r="B4" s="3" t="inlineStr">
        <is>
          <t>₹6L</t>
        </is>
      </c>
      <c r="C4" s="3" t="inlineStr">
        <is>
          <t>₹8L (base)</t>
        </is>
      </c>
      <c r="D4" s="3" t="inlineStr">
        <is>
          <t>₹10L</t>
        </is>
      </c>
    </row>
    <row r="5">
      <c r="A5" t="inlineStr">
        <is>
          <t>Steady-state monthly sales (₹ lakh)</t>
        </is>
      </c>
      <c r="B5" s="8">
        <f>Payback!F$4</f>
        <v/>
      </c>
      <c r="C5" s="8">
        <f>Payback!I$4</f>
        <v/>
      </c>
      <c r="D5" s="8">
        <f>Payback!L$4</f>
        <v/>
      </c>
    </row>
    <row r="6">
      <c r="A6" t="inlineStr">
        <is>
          <t>Year 1 sales (₹ lakh)</t>
        </is>
      </c>
      <c r="B6" s="8">
        <f>SUM(Payback!F6:F17)</f>
        <v/>
      </c>
      <c r="C6" s="8">
        <f>SUM(Payback!I6:I17)</f>
        <v/>
      </c>
      <c r="D6" s="8">
        <f>SUM(Payback!L6:L17)</f>
        <v/>
      </c>
    </row>
    <row r="7">
      <c r="A7" t="inlineStr">
        <is>
          <t>Year 1 EBITDA (₹ lakh)</t>
        </is>
      </c>
      <c r="B7" s="8">
        <f>SUM(Payback!G6:G17)</f>
        <v/>
      </c>
      <c r="C7" s="8">
        <f>SUM(Payback!J6:J17)</f>
        <v/>
      </c>
      <c r="D7" s="8">
        <f>SUM(Payback!M6:M17)</f>
        <v/>
      </c>
    </row>
    <row r="8">
      <c r="A8" t="inlineStr">
        <is>
          <t>Year 1 EBITDA margin</t>
        </is>
      </c>
      <c r="B8" s="9">
        <f>IF(B6=0,0,B7/B6)</f>
        <v/>
      </c>
      <c r="C8" s="9">
        <f>IF(C6=0,0,C7/C6)</f>
        <v/>
      </c>
      <c r="D8" s="9">
        <f>IF(D6=0,0,D7/D6)</f>
        <v/>
      </c>
    </row>
    <row r="9">
      <c r="A9" t="inlineStr">
        <is>
          <t>Steady-state monthly EBITDA (₹ lakh)</t>
        </is>
      </c>
      <c r="B9" s="8">
        <f>Payback!G41</f>
        <v/>
      </c>
      <c r="C9" s="8">
        <f>Payback!J41</f>
        <v/>
      </c>
      <c r="D9" s="8">
        <f>Payback!M41</f>
        <v/>
      </c>
    </row>
    <row r="10">
      <c r="A10" t="inlineStr">
        <is>
          <t>Steady-state EBITDA margin</t>
        </is>
      </c>
      <c r="B10" s="9">
        <f>IF(B5=0,0,B9/B5)</f>
        <v/>
      </c>
      <c r="C10" s="9">
        <f>IF(C5=0,0,C9/C5)</f>
        <v/>
      </c>
      <c r="D10" s="9">
        <f>IF(D5=0,0,D9/D5)</f>
        <v/>
      </c>
    </row>
    <row r="11">
      <c r="A11" t="inlineStr">
        <is>
          <t>Payback month</t>
        </is>
      </c>
      <c r="B11" s="10">
        <f>Payback!F43</f>
        <v/>
      </c>
      <c r="C11" s="10">
        <f>Payback!I43</f>
        <v/>
      </c>
      <c r="D11" s="10">
        <f>Payback!L43</f>
        <v/>
      </c>
    </row>
    <row r="12">
      <c r="A12" t="inlineStr">
        <is>
          <t>Cumulative cash at month 36 (₹ lakh)</t>
        </is>
      </c>
      <c r="B12" s="8">
        <f>Payback!F44</f>
        <v/>
      </c>
      <c r="C12" s="8">
        <f>Payback!I44</f>
        <v/>
      </c>
      <c r="D12" s="8">
        <f>Payback!L44</f>
        <v/>
      </c>
    </row>
    <row r="14">
      <c r="A14" s="7" t="inlineStr">
        <is>
          <t>Break-even monthly sales, same in all three (₹ lakh)</t>
        </is>
      </c>
      <c r="B14" s="8">
        <f>Assumptions!$C$46</f>
        <v/>
      </c>
    </row>
    <row r="15">
      <c r="A15" t="inlineStr">
        <is>
          <t>Initial investment (₹ lakh)</t>
        </is>
      </c>
      <c r="B15" s="8">
        <f>Assumptions!$C$43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Scale100x revenue from the FreshBrew engagement, Years 1–3 (₹ lakh)</t>
        </is>
      </c>
    </row>
    <row r="2">
      <c r="A2" s="17" t="inlineStr">
        <is>
          <t>Kept separate from franchisee economics. Scale100x's pricing is not public, so every commercial input is an editable estimate (A1).</t>
        </is>
      </c>
    </row>
    <row r="4">
      <c r="A4" s="3" t="inlineStr">
        <is>
          <t>Line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3-year total</t>
        </is>
      </c>
    </row>
    <row r="5">
      <c r="A5" s="18" t="inlineStr">
        <is>
          <t>Year number</t>
        </is>
      </c>
      <c r="B5" s="10">
        <f>1</f>
        <v/>
      </c>
      <c r="C5" s="10">
        <f>2</f>
        <v/>
      </c>
      <c r="D5" s="10">
        <f>3</f>
        <v/>
      </c>
    </row>
    <row r="6">
      <c r="A6" s="18" t="inlineStr">
        <is>
          <t>FreshBrew outlets signed</t>
        </is>
      </c>
      <c r="B6" s="10">
        <f>Assumptions!$C$37</f>
        <v/>
      </c>
      <c r="C6" s="10">
        <f>Assumptions!$C$38</f>
        <v/>
      </c>
      <c r="D6" s="10">
        <f>Assumptions!$C$39</f>
        <v/>
      </c>
      <c r="E6" s="5">
        <f>SUM(B6:D6)</f>
        <v/>
      </c>
    </row>
    <row r="7">
      <c r="A7" s="18" t="inlineStr">
        <is>
          <t>Outlets signed to date (end of year)</t>
        </is>
      </c>
      <c r="B7" s="10">
        <f>B6</f>
        <v/>
      </c>
      <c r="C7" s="10">
        <f>B7+C6</f>
        <v/>
      </c>
      <c r="D7" s="10">
        <f>C7+D6</f>
        <v/>
      </c>
    </row>
    <row r="8">
      <c r="A8" s="18" t="inlineStr">
        <is>
          <t>Setup fee (Year 1 only)</t>
        </is>
      </c>
      <c r="B8" s="8">
        <f>IF(B5=1,Assumptions!$C$31,0)</f>
        <v/>
      </c>
      <c r="C8" s="8">
        <f>IF(C5=1,Assumptions!$C$31,0)</f>
        <v/>
      </c>
      <c r="D8" s="8">
        <f>IF(D5=1,Assumptions!$C$31,0)</f>
        <v/>
      </c>
      <c r="E8" s="4">
        <f>SUM(B8:D8)</f>
        <v/>
      </c>
    </row>
    <row r="9">
      <c r="A9" s="18" t="inlineStr">
        <is>
          <t>Retainer</t>
        </is>
      </c>
      <c r="B9" s="8">
        <f>Assumptions!$C$32*Assumptions!$C$33</f>
        <v/>
      </c>
      <c r="C9" s="8">
        <f>Assumptions!$C$32*Assumptions!$C$33</f>
        <v/>
      </c>
      <c r="D9" s="8">
        <f>Assumptions!$C$32*Assumptions!$C$33</f>
        <v/>
      </c>
      <c r="E9" s="4">
        <f>SUM(B9:D9)</f>
        <v/>
      </c>
    </row>
    <row r="10">
      <c r="A10" s="18" t="inlineStr">
        <is>
          <t>Success fees</t>
        </is>
      </c>
      <c r="B10" s="8">
        <f>B6*Assumptions!$C$47</f>
        <v/>
      </c>
      <c r="C10" s="8">
        <f>C6*Assumptions!$C$47</f>
        <v/>
      </c>
      <c r="D10" s="8">
        <f>D6*Assumptions!$C$47</f>
        <v/>
      </c>
      <c r="E10" s="4">
        <f>SUM(B10:D10)</f>
        <v/>
      </c>
    </row>
    <row r="11">
      <c r="A11" s="18" t="inlineStr">
        <is>
          <t>Royalty share (optional, off by default)</t>
        </is>
      </c>
      <c r="B11" s="8">
        <f>((B7-B6)+B7)/2*Assumptions!$C$6*12*Assumptions!$C$23*Assumptions!$C$35</f>
        <v/>
      </c>
      <c r="C11" s="8">
        <f>((C7-C6)+C7)/2*Assumptions!$C$6*12*Assumptions!$C$23*Assumptions!$C$35</f>
        <v/>
      </c>
      <c r="D11" s="8">
        <f>((D7-D6)+D7)/2*Assumptions!$C$6*12*Assumptions!$C$23*Assumptions!$C$35</f>
        <v/>
      </c>
      <c r="E11" s="4">
        <f>SUM(B11:D11)</f>
        <v/>
      </c>
    </row>
    <row r="12">
      <c r="A12" s="7" t="inlineStr">
        <is>
          <t>Scale100x revenue from FreshBrew</t>
        </is>
      </c>
      <c r="B12" s="8">
        <f>SUM(B8:B11)</f>
        <v/>
      </c>
      <c r="C12" s="8">
        <f>SUM(C8:C11)</f>
        <v/>
      </c>
      <c r="D12" s="8">
        <f>SUM(D8:D11)</f>
        <v/>
      </c>
      <c r="E12" s="4">
        <f>SUM(B12:D12)</f>
        <v/>
      </c>
    </row>
    <row r="13">
      <c r="A13" s="7" t="inlineStr">
        <is>
          <t>Portfolio scenario: × brands like FreshBrew</t>
        </is>
      </c>
      <c r="B13" s="8">
        <f>B12*Assumptions!$C$40</f>
        <v/>
      </c>
      <c r="C13" s="8">
        <f>C12*Assumptions!$C$40</f>
        <v/>
      </c>
      <c r="D13" s="8">
        <f>D12*Assumptions!$C$40</f>
        <v/>
      </c>
      <c r="E13" s="4">
        <f>SUM(B13:D13)</f>
        <v/>
      </c>
    </row>
    <row r="15">
      <c r="A15" s="7" t="inlineStr">
        <is>
          <t>Revenue mix, 3 years</t>
        </is>
      </c>
    </row>
    <row r="16">
      <c r="A16">
        <f>A8</f>
        <v/>
      </c>
      <c r="B16" s="9">
        <f>IF($E$12=0,0,E8/$E$12)</f>
        <v/>
      </c>
    </row>
    <row r="17">
      <c r="A17">
        <f>A9</f>
        <v/>
      </c>
      <c r="B17" s="9">
        <f>IF($E$12=0,0,E9/$E$12)</f>
        <v/>
      </c>
    </row>
    <row r="18">
      <c r="A18">
        <f>A10</f>
        <v/>
      </c>
      <c r="B18" s="9">
        <f>IF($E$12=0,0,E10/$E$12)</f>
        <v/>
      </c>
    </row>
    <row r="19">
      <c r="A19">
        <f>A11</f>
        <v/>
      </c>
      <c r="B19" s="9">
        <f>IF($E$12=0,0,E11/$E$12)</f>
        <v/>
      </c>
    </row>
    <row r="21">
      <c r="A21" s="17" t="inlineStr">
        <is>
          <t>Note: the portfolio row multiplies one FreshBrew-like engagement by the number of brands. It is a scale illustration, not a forecast.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9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Checks: every row should read TRUE</t>
        </is>
      </c>
    </row>
    <row r="3">
      <c r="A3" s="3" t="inlineStr">
        <is>
          <t>Check</t>
        </is>
      </c>
      <c r="B3" s="3" t="inlineStr">
        <is>
          <t>Result</t>
        </is>
      </c>
    </row>
    <row r="4">
      <c r="A4" t="inlineStr">
        <is>
          <t>P&amp;L: every month, EBITDA = revenue − all cost lines</t>
        </is>
      </c>
      <c r="B4">
        <f>SUMPRODUCT(ABS('P&amp;L_Y1'!B18:M18-('P&amp;L_Y1'!B7:M7-'P&amp;L_Y1'!B8:M8-'P&amp;L_Y1'!B10:M10-'P&amp;L_Y1'!B11:M11-'P&amp;L_Y1'!B12:M12-'P&amp;L_Y1'!B13:M13-'P&amp;L_Y1'!B14:M14-'P&amp;L_Y1'!B15:M15-'P&amp;L_Y1'!B16:M16)))&lt;0.0001</f>
        <v/>
      </c>
    </row>
    <row r="5">
      <c r="A5" t="inlineStr">
        <is>
          <t>P&amp;L Year 1 EBITDA total = sum of the 12 months</t>
        </is>
      </c>
      <c r="B5">
        <f>ABS('P&amp;L_Y1'!N18-SUM('P&amp;L_Y1'!B18:M18))&lt;0.0001</f>
        <v/>
      </c>
    </row>
    <row r="6">
      <c r="A6" t="inlineStr">
        <is>
          <t>P&amp;L Year 1 EBITDA (built line by line) = Payback selected EBITDA months 1–12 (built from the variable % and fixed costs): two different routes, same answer</t>
        </is>
      </c>
      <c r="B6">
        <f>ABS('P&amp;L_Y1'!N18-SUM(Payback!D6:D17))&lt;0.0001</f>
        <v/>
      </c>
    </row>
    <row r="7">
      <c r="A7" t="inlineStr">
        <is>
          <t>Initial investment = capex + franchise fee + working capital</t>
        </is>
      </c>
      <c r="B7">
        <f>ABS(Assumptions!$C$43-(Assumptions!$C$9+Assumptions!$C$10+Assumptions!$C$11))&lt;0.0001</f>
        <v/>
      </c>
    </row>
    <row r="8">
      <c r="A8" t="inlineStr">
        <is>
          <t>P&amp;L month-12 cumulative cash = Payback month-12 cumulative (selected)</t>
        </is>
      </c>
      <c r="B8">
        <f>ABS('P&amp;L_Y1'!M20-Payback!E17)&lt;0.0001</f>
        <v/>
      </c>
    </row>
    <row r="9">
      <c r="A9" t="inlineStr">
        <is>
          <t>Payback month (selected) is the first month cumulative cash ≥ 0, and the month before is still &lt; 0</t>
        </is>
      </c>
      <c r="B9">
        <f>IF(ISNUMBER(Payback!C43),AND(INDEX(Payback!E6:E41,Payback!C43)&gt;=0,IF(Payback!C43=1,TRUE,INDEX(Payback!E6:E41,Payback!C43-1)&lt;0)),Payback!E41&lt;0)</f>
        <v/>
      </c>
    </row>
    <row r="10">
      <c r="A10" t="inlineStr">
        <is>
          <t>Payback month for ₹8L in Sensitivity matches the selected scenario when ₹8L is selected</t>
        </is>
      </c>
      <c r="B10">
        <f>IF(Assumptions!$C$6=8,Sensitivity!C11=Payback!C43,TRUE)</f>
        <v/>
      </c>
    </row>
    <row r="11">
      <c r="A11" t="inlineStr">
        <is>
          <t>Scale100x: the four streams add up to the yearly total (Years 1–3)</t>
        </is>
      </c>
      <c r="B11">
        <f>SUMPRODUCT(ABS(Scale100x_Rev!B12:D12-(Scale100x_Rev!B8:D8+Scale100x_Rev!B9:D9+Scale100x_Rev!B10:D10+Scale100x_Rev!B11:D11)))&lt;0.0001</f>
        <v/>
      </c>
    </row>
    <row r="12">
      <c r="A12" t="inlineStr">
        <is>
          <t>Scale100x: 3-year total = Year 1 + Year 2 + Year 3</t>
        </is>
      </c>
      <c r="B12">
        <f>ABS(Scale100x_Rev!E12-SUM(Scale100x_Rev!B12:D12))&lt;0.0001</f>
        <v/>
      </c>
    </row>
    <row r="13">
      <c r="A13" t="inlineStr">
        <is>
          <t>Selected scenario is one of the brief's three (6, 8 or 10)</t>
        </is>
      </c>
      <c r="B13">
        <f>OR(Assumptions!$C$6=6,Assumptions!$C$6=8,Assumptions!$C$6=10)</f>
        <v/>
      </c>
    </row>
    <row r="14">
      <c r="A14" s="7" t="inlineStr">
        <is>
          <t>All checks pass</t>
        </is>
      </c>
      <c r="B14" s="7">
        <f>AND(B4:B13)</f>
        <v/>
      </c>
    </row>
    <row r="16">
      <c r="A16" s="7" t="inlineStr">
        <is>
          <t>Hand spot-checks at the base inputs (₹8L selected). Expected values were worked out by hand, outside the sheet.</t>
        </is>
      </c>
    </row>
    <row r="17">
      <c r="A17" t="inlineStr">
        <is>
          <t>Calculation</t>
        </is>
      </c>
      <c r="B17" t="inlineStr">
        <is>
          <t>Model</t>
        </is>
      </c>
      <c r="C17" t="inlineStr">
        <is>
          <t>By hand</t>
        </is>
      </c>
      <c r="D17" t="inlineStr">
        <is>
          <t>Match?</t>
        </is>
      </c>
    </row>
    <row r="18">
      <c r="A18" s="14" t="inlineStr">
        <is>
          <t>1. Month-1 revenue = 8 × 60% = 4.80</t>
        </is>
      </c>
      <c r="B18" s="19">
        <f>'P&amp;L_Y1'!B7</f>
        <v/>
      </c>
      <c r="C18" s="19" t="n">
        <v>4.8</v>
      </c>
      <c r="D18">
        <f>IF(Assumptions!$C$6=8,ABS(B18-C18)&lt;0.0005,"select ₹8L")</f>
        <v/>
      </c>
    </row>
    <row r="19">
      <c r="A19" s="14" t="inlineStr">
        <is>
          <t>2. Steady-state monthly EBITDA = 8 × (1 − 0.476) − 2.90 = 1.292, where variable % = 30% + 30%×22% + 6% + 2% + 3% = 47.6% and fixed = 0.90 + 1.60 + 0.40 = 2.90</t>
        </is>
      </c>
      <c r="B19" s="19">
        <f>Payback!D41</f>
        <v/>
      </c>
      <c r="C19" s="19" t="n">
        <v>1.292</v>
      </c>
      <c r="D19">
        <f>IF(Assumptions!$C$6=8,ABS(B19-C19)&lt;0.0005,"select ₹8L")</f>
        <v/>
      </c>
    </row>
    <row r="20">
      <c r="A20" s="14" t="inlineStr">
        <is>
          <t>3. Year 1 Scale100x revenue = 5 setup + 1.5 × 12 retainer + 24 × (25% × 6) success = 59.00</t>
        </is>
      </c>
      <c r="B20" s="19">
        <f>Scale100x_Rev!B12</f>
        <v/>
      </c>
      <c r="C20" s="19" t="n">
        <v>59</v>
      </c>
      <c r="D20">
        <f>IF(Assumptions!$C$6=8,ABS(B20-C20)&lt;0.0005,"select ₹8L")</f>
        <v/>
      </c>
    </row>
    <row r="22">
      <c r="A22" s="17" t="inlineStr">
        <is>
          <t>Manual check: no hard-coded numbers inside formulas except 0, 1, month and year indexes, 12 months a year, and the brief's 6 / 8 / 10 scenario levels. Ticked after a formula review on 17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2026-10-17T16:44:01Z</dcterms:created>
  <dcterms:modified xmlns:dcterms="http://purl.org/dc/terms/" xmlns:xsi="http://www.w3.org/2001/XMLSchema-instance" xsi:type="dcterms:W3CDTF">2026-10-17T16:44:01Z</dcterms:modified>
</cp:coreProperties>
</file>