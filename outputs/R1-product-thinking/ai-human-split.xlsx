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Human_Spli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11118"/>
      </patternFill>
    </fill>
    <fill>
      <patternFill patternType="solid">
        <fgColor rgb="00FFF4D6"/>
      </patternFill>
    </fill>
    <fill>
      <patternFill patternType="solid">
        <fgColor rgb="00DBE7F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9" fontId="2" fillId="4" borderId="0" pivotButton="0" quotePrefix="0" xfId="0"/>
    <xf numFmtId="164" fontId="2" fillId="4" borderId="0" pivotButton="0" quotePrefix="0" xfId="0"/>
    <xf numFmtId="165" fontId="2" fillId="4" borderId="0" pivotButton="0" quotePrefix="0" xfId="0"/>
    <xf numFmtId="1" fontId="2" fillId="3" borderId="0" pivotButton="0" quotePrefix="0" xfId="0"/>
    <xf numFmtId="2" fontId="2" fillId="4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8" customWidth="1" min="4" max="4"/>
    <col width="11" customWidth="1" min="5" max="5"/>
    <col width="10" customWidth="1" min="6" max="6"/>
    <col width="9" customWidth="1" min="7" max="7"/>
    <col width="11" customWidth="1" min="8" max="8"/>
    <col width="52" customWidth="1" min="9" max="9"/>
    <col width="9" customWidth="1" min="10" max="10"/>
    <col width="38" customWidth="1" min="11" max="11"/>
    <col width="11" customWidth="1" min="12" max="12"/>
    <col width="44" customWidth="1" min="13" max="13"/>
    <col width="8" customWidth="1" min="14" max="14"/>
    <col width="6" customWidth="1" min="15" max="15"/>
    <col width="9" customWidth="1" min="16" max="16"/>
    <col width="9" customWidth="1" min="17" max="17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Action</t>
        </is>
      </c>
      <c r="D1" s="1" t="inlineStr">
        <is>
          <t>Owner</t>
        </is>
      </c>
      <c r="E1" s="1" t="inlineStr">
        <is>
          <t>Freq / month</t>
        </is>
      </c>
      <c r="F1" s="1" t="inlineStr">
        <is>
          <t>Manual min</t>
        </is>
      </c>
      <c r="G1" s="1" t="inlineStr">
        <is>
          <t>AI share</t>
        </is>
      </c>
      <c r="H1" s="1" t="inlineStr">
        <is>
          <t>Value weight (1-5)</t>
        </is>
      </c>
      <c r="I1" s="1" t="inlineStr">
        <is>
          <t>Why this owner</t>
        </is>
      </c>
      <c r="J1" s="1" t="inlineStr">
        <is>
          <t>Engine</t>
        </is>
      </c>
      <c r="K1" s="2" t="inlineStr">
        <is>
          <t>Results</t>
        </is>
      </c>
      <c r="L1" s="2" t="inlineStr">
        <is>
          <t>Value</t>
        </is>
      </c>
      <c r="M1" s="2" t="inlineStr">
        <is>
          <t>How it is calculated</t>
        </is>
      </c>
    </row>
    <row r="2">
      <c r="A2" s="3" t="n">
        <v>1</v>
      </c>
      <c r="B2" s="3" t="inlineStr">
        <is>
          <t>1 Onboarding</t>
        </is>
      </c>
      <c r="C2" s="3" t="inlineStr">
        <is>
          <t>Fill brand details form</t>
        </is>
      </c>
      <c r="D2" s="3" t="inlineStr">
        <is>
          <t>AI→H</t>
        </is>
      </c>
      <c r="E2" s="4" t="n">
        <v>0.1667</v>
      </c>
      <c r="F2" s="4" t="n">
        <v>60</v>
      </c>
      <c r="G2" s="4" t="n">
        <v>0.7</v>
      </c>
      <c r="H2" s="4" t="n">
        <v>2</v>
      </c>
      <c r="I2" s="3" t="inlineStr">
        <is>
          <t>AI pre-fills from deck and website; founder confirms</t>
        </is>
      </c>
      <c r="J2" s="3" t="inlineStr">
        <is>
          <t>model</t>
        </is>
      </c>
      <c r="K2" s="5" t="inlineStr">
        <is>
          <t>Count, strict (AI only)</t>
        </is>
      </c>
      <c r="L2" s="6">
        <f>COUNTIF(D2:D38,"AI")/COUNTA(D2:D38)</f>
        <v/>
      </c>
      <c r="M2" t="inlineStr">
        <is>
          <t>Actions owned by AI ÷ all 37</t>
        </is>
      </c>
    </row>
    <row r="3">
      <c r="A3" s="3" t="n">
        <v>2</v>
      </c>
      <c r="B3" s="3" t="inlineStr">
        <is>
          <t>1 Onboarding</t>
        </is>
      </c>
      <c r="C3" s="3" t="inlineStr">
        <is>
          <t>Upload pitch deck and P&amp;L</t>
        </is>
      </c>
      <c r="D3" s="3" t="inlineStr">
        <is>
          <t>H</t>
        </is>
      </c>
      <c r="E3" s="4" t="n">
        <v>0.1667</v>
      </c>
      <c r="F3" s="4" t="n">
        <v>15</v>
      </c>
      <c r="G3" s="4" t="n">
        <v>0</v>
      </c>
      <c r="H3" s="4" t="n">
        <v>1</v>
      </c>
      <c r="I3" s="3" t="inlineStr">
        <is>
          <t>Only the founder has the files</t>
        </is>
      </c>
      <c r="J3" s="3" t="inlineStr">
        <is>
          <t>human</t>
        </is>
      </c>
      <c r="K3" s="5" t="inlineStr">
        <is>
          <t>Count, generous (AI→H counted as AI)</t>
        </is>
      </c>
      <c r="L3" s="6">
        <f>(COUNTIF(D2:D38,"AI")+COUNTIF(D2:D38,"AI→H"))/COUNTA(D2:D38)</f>
        <v/>
      </c>
      <c r="M3" t="inlineStr">
        <is>
          <t>AI + AI-drafted actions ÷ all 37</t>
        </is>
      </c>
    </row>
    <row r="4">
      <c r="A4" s="3" t="n">
        <v>3</v>
      </c>
      <c r="B4" s="3" t="inlineStr">
        <is>
          <t>1 Onboarding</t>
        </is>
      </c>
      <c r="C4" s="3" t="inlineStr">
        <is>
          <t>Extract P&amp;L figures from uploaded files</t>
        </is>
      </c>
      <c r="D4" s="3" t="inlineStr">
        <is>
          <t>AI</t>
        </is>
      </c>
      <c r="E4" s="4" t="n">
        <v>0.1667</v>
      </c>
      <c r="F4" s="4" t="n">
        <v>90</v>
      </c>
      <c r="G4" s="4" t="n">
        <v>1</v>
      </c>
      <c r="H4" s="4" t="n">
        <v>3</v>
      </c>
      <c r="I4" s="3" t="inlineStr">
        <is>
          <t>Document parsing</t>
        </is>
      </c>
      <c r="J4" s="3" t="inlineStr">
        <is>
          <t>model</t>
        </is>
      </c>
      <c r="K4" s="5" t="inlineStr">
        <is>
          <t>Time-weighted AI share</t>
        </is>
      </c>
      <c r="L4" s="7">
        <f>SUMPRODUCT(E2:E38,F2:F38,G2:G38)/SUMPRODUCT(E2:E38,F2:F38)</f>
        <v/>
      </c>
      <c r="M4" t="inlineStr">
        <is>
          <t>Minutes done by AI ÷ all manual minutes</t>
        </is>
      </c>
    </row>
    <row r="5">
      <c r="A5" s="3" t="n">
        <v>4</v>
      </c>
      <c r="B5" s="3" t="inlineStr">
        <is>
          <t>1 Onboarding</t>
        </is>
      </c>
      <c r="C5" s="3" t="inlineStr">
        <is>
          <t>Build revenue split (donut)</t>
        </is>
      </c>
      <c r="D5" s="3" t="inlineStr">
        <is>
          <t>AI</t>
        </is>
      </c>
      <c r="E5" s="4" t="n">
        <v>0.1667</v>
      </c>
      <c r="F5" s="4" t="n">
        <v>30</v>
      </c>
      <c r="G5" s="4" t="n">
        <v>1</v>
      </c>
      <c r="H5" s="4" t="n">
        <v>1</v>
      </c>
      <c r="I5" s="3" t="inlineStr">
        <is>
          <t>Computed from extracted figures</t>
        </is>
      </c>
      <c r="J5" s="3" t="inlineStr">
        <is>
          <t>rules</t>
        </is>
      </c>
      <c r="K5" s="5" t="inlineStr">
        <is>
          <t>Value-weighted AI share</t>
        </is>
      </c>
      <c r="L5" s="6">
        <f>SUMPRODUCT(H2:H38,G2:G38)/SUM(H2:H38)</f>
        <v/>
      </c>
      <c r="M5" t="inlineStr">
        <is>
          <t>Value weight done by AI ÷ total value weight</t>
        </is>
      </c>
    </row>
    <row r="6">
      <c r="A6" s="3" t="n">
        <v>5</v>
      </c>
      <c r="B6" s="3" t="inlineStr">
        <is>
          <t>1 Onboarding</t>
        </is>
      </c>
      <c r="C6" s="3" t="inlineStr">
        <is>
          <t>Compute AI Readiness Score (RAG sub-scores)</t>
        </is>
      </c>
      <c r="D6" s="3" t="inlineStr">
        <is>
          <t>AI</t>
        </is>
      </c>
      <c r="E6" s="4" t="n">
        <v>0.1667</v>
      </c>
      <c r="F6" s="4" t="n">
        <v>120</v>
      </c>
      <c r="G6" s="4" t="n">
        <v>1</v>
      </c>
      <c r="H6" s="4" t="n">
        <v>3</v>
      </c>
      <c r="I6" s="3" t="inlineStr">
        <is>
          <t>Rule-based rubric (A31)</t>
        </is>
      </c>
      <c r="J6" s="3" t="inlineStr">
        <is>
          <t>rules</t>
        </is>
      </c>
      <c r="K6" s="5" t="inlineStr">
        <is>
          <t>Manual hours / brand / month (no AI)</t>
        </is>
      </c>
      <c r="L6" s="8">
        <f>SUMPRODUCT(E2:E38,F2:F38)/60</f>
        <v/>
      </c>
      <c r="M6" t="inlineStr">
        <is>
          <t>Freq × minutes, summed, ÷ 60</t>
        </is>
      </c>
    </row>
    <row r="7">
      <c r="A7" s="3" t="n">
        <v>6</v>
      </c>
      <c r="B7" s="3" t="inlineStr">
        <is>
          <t>1 Onboarding</t>
        </is>
      </c>
      <c r="C7" s="3" t="inlineStr">
        <is>
          <t>Explain gaps and recommended fixes</t>
        </is>
      </c>
      <c r="D7" s="3" t="inlineStr">
        <is>
          <t>AI</t>
        </is>
      </c>
      <c r="E7" s="4" t="n">
        <v>0.1667</v>
      </c>
      <c r="F7" s="4" t="n">
        <v>60</v>
      </c>
      <c r="G7" s="4" t="n">
        <v>1</v>
      </c>
      <c r="H7" s="4" t="n">
        <v>2</v>
      </c>
      <c r="I7" s="3" t="inlineStr">
        <is>
          <t>Generated from failed rules</t>
        </is>
      </c>
      <c r="J7" s="3" t="inlineStr">
        <is>
          <t>model</t>
        </is>
      </c>
      <c r="K7" s="5" t="inlineStr">
        <is>
          <t>Human hours / brand / month (with AI)</t>
        </is>
      </c>
      <c r="L7" s="8">
        <f>SUMPRODUCT(E2:E38,F2:F38,1-G2:G38)/60</f>
        <v/>
      </c>
      <c r="M7" t="inlineStr">
        <is>
          <t>Freq × minutes × (1 − AI share), ÷ 60</t>
        </is>
      </c>
    </row>
    <row r="8">
      <c r="A8" s="3" t="n">
        <v>7</v>
      </c>
      <c r="B8" s="3" t="inlineStr">
        <is>
          <t>1 Onboarding</t>
        </is>
      </c>
      <c r="C8" s="3" t="inlineStr">
        <is>
          <t>Go/no-go: take the brand on</t>
        </is>
      </c>
      <c r="D8" s="3" t="inlineStr">
        <is>
          <t>H</t>
        </is>
      </c>
      <c r="E8" s="4" t="n">
        <v>0.1667</v>
      </c>
      <c r="F8" s="4" t="n">
        <v>60</v>
      </c>
      <c r="G8" s="4" t="n">
        <v>0</v>
      </c>
      <c r="H8" s="4" t="n">
        <v>5</v>
      </c>
      <c r="I8" s="3" t="inlineStr">
        <is>
          <t>Commercial judgement and reputation risk</t>
        </is>
      </c>
      <c r="J8" s="3" t="inlineStr">
        <is>
          <t>human</t>
        </is>
      </c>
      <c r="K8" s="5" t="inlineStr">
        <is>
          <t>Consultant hours / month (A35, edit me)</t>
        </is>
      </c>
      <c r="L8" s="9" t="n">
        <v>160</v>
      </c>
      <c r="M8" t="inlineStr">
        <is>
          <t>Input: 8 h × 20 working days</t>
        </is>
      </c>
    </row>
    <row r="9">
      <c r="A9" s="3" t="n">
        <v>8</v>
      </c>
      <c r="B9" s="3" t="inlineStr">
        <is>
          <t>2 ROI Engine</t>
        </is>
      </c>
      <c r="C9" s="3" t="inlineStr">
        <is>
          <t>Draft Franchise Model Card</t>
        </is>
      </c>
      <c r="D9" s="3" t="inlineStr">
        <is>
          <t>AI→H</t>
        </is>
      </c>
      <c r="E9" s="4" t="n">
        <v>0.1667</v>
      </c>
      <c r="F9" s="4" t="n">
        <v>240</v>
      </c>
      <c r="G9" s="4" t="n">
        <v>0.7</v>
      </c>
      <c r="H9" s="4" t="n">
        <v>4</v>
      </c>
      <c r="I9" s="3" t="inlineStr">
        <is>
          <t>AI drafts; consultant edits and approves before anyone quotes it</t>
        </is>
      </c>
      <c r="J9" s="3" t="inlineStr">
        <is>
          <t>model</t>
        </is>
      </c>
      <c r="K9" s="5" t="inlineStr">
        <is>
          <t>Brands per consultant (with AI)</t>
        </is>
      </c>
      <c r="L9" s="8">
        <f>L8/L7</f>
        <v/>
      </c>
      <c r="M9" t="inlineStr">
        <is>
          <t>Consultant hours ÷ human hours per brand</t>
        </is>
      </c>
    </row>
    <row r="10">
      <c r="A10" s="3" t="n">
        <v>9</v>
      </c>
      <c r="B10" s="3" t="inlineStr">
        <is>
          <t>2 ROI Engine</t>
        </is>
      </c>
      <c r="C10" s="3" t="inlineStr">
        <is>
          <t>Generate 3-year ROI projections</t>
        </is>
      </c>
      <c r="D10" s="3" t="inlineStr">
        <is>
          <t>AI</t>
        </is>
      </c>
      <c r="E10" s="4" t="n">
        <v>0.1667</v>
      </c>
      <c r="F10" s="4" t="n">
        <v>240</v>
      </c>
      <c r="G10" s="4" t="n">
        <v>1</v>
      </c>
      <c r="H10" s="4" t="n">
        <v>4</v>
      </c>
      <c r="I10" s="3" t="inlineStr">
        <is>
          <t>Formula-driven from approved inputs</t>
        </is>
      </c>
      <c r="J10" s="3" t="inlineStr">
        <is>
          <t>rules</t>
        </is>
      </c>
      <c r="K10" s="5" t="inlineStr">
        <is>
          <t>Brands per consultant (no AI)</t>
        </is>
      </c>
      <c r="L10" s="10">
        <f>L8/L6</f>
        <v/>
      </c>
      <c r="M10" t="inlineStr">
        <is>
          <t>Consultant hours ÷ manual hours per brand</t>
        </is>
      </c>
    </row>
    <row r="11">
      <c r="A11" s="3" t="n">
        <v>10</v>
      </c>
      <c r="B11" s="3" t="inlineStr">
        <is>
          <t>2 ROI Engine</t>
        </is>
      </c>
      <c r="C11" s="3" t="inlineStr">
        <is>
          <t>Run sensitivity scenarios</t>
        </is>
      </c>
      <c r="D11" s="3" t="inlineStr">
        <is>
          <t>AI</t>
        </is>
      </c>
      <c r="E11" s="4" t="n">
        <v>0.1667</v>
      </c>
      <c r="F11" s="4" t="n">
        <v>60</v>
      </c>
      <c r="G11" s="4" t="n">
        <v>1</v>
      </c>
      <c r="H11" s="4" t="n">
        <v>3</v>
      </c>
      <c r="I11" s="3" t="inlineStr">
        <is>
          <t>Formula-driven</t>
        </is>
      </c>
      <c r="J11" s="3" t="inlineStr">
        <is>
          <t>rules</t>
        </is>
      </c>
      <c r="K11" s="5" t="inlineStr">
        <is>
          <t>Human hours per signed franchisee</t>
        </is>
      </c>
      <c r="L11" s="8">
        <f>L7/3</f>
        <v/>
      </c>
      <c r="M11" t="inlineStr">
        <is>
          <t>Human hours ÷ 3 signings per brand per month (A19)</t>
        </is>
      </c>
    </row>
    <row r="12">
      <c r="A12" s="3" t="n">
        <v>11</v>
      </c>
      <c r="B12" s="3" t="inlineStr">
        <is>
          <t>2 ROI Engine</t>
        </is>
      </c>
      <c r="C12" s="3" t="inlineStr">
        <is>
          <t>Pull India + US benchmark comparisons</t>
        </is>
      </c>
      <c r="D12" s="3" t="inlineStr">
        <is>
          <t>AI</t>
        </is>
      </c>
      <c r="E12" s="4" t="n">
        <v>0.1667</v>
      </c>
      <c r="F12" s="4" t="n">
        <v>120</v>
      </c>
      <c r="G12" s="4" t="n">
        <v>1</v>
      </c>
      <c r="H12" s="4" t="n">
        <v>2</v>
      </c>
      <c r="I12" s="3" t="inlineStr">
        <is>
          <t>Lookup against a sourced table (A33)</t>
        </is>
      </c>
      <c r="J12" s="3" t="inlineStr">
        <is>
          <t>model</t>
        </is>
      </c>
      <c r="K12" s="5" t="inlineStr">
        <is>
          <t xml:space="preserve">  of which AI models (time share)</t>
        </is>
      </c>
      <c r="L12" s="7">
        <f>SUMPRODUCT((J2:J38="model")*E2:E38*F2:F38*G2:G38)/SUMPRODUCT(E2:E38,F2:F38)</f>
        <v/>
      </c>
      <c r="M12" t="inlineStr">
        <is>
          <t>Minutes done by AI models ÷ all manual minutes</t>
        </is>
      </c>
    </row>
    <row r="13">
      <c r="A13" s="3" t="n">
        <v>12</v>
      </c>
      <c r="B13" s="3" t="inlineStr">
        <is>
          <t>2 ROI Engine</t>
        </is>
      </c>
      <c r="C13" s="3" t="inlineStr">
        <is>
          <t>Generate insights (Opportunity / Risk / Benchmark)</t>
        </is>
      </c>
      <c r="D13" s="3" t="inlineStr">
        <is>
          <t>AI</t>
        </is>
      </c>
      <c r="E13" s="4" t="n">
        <v>0.1667</v>
      </c>
      <c r="F13" s="4" t="n">
        <v>60</v>
      </c>
      <c r="G13" s="4" t="n">
        <v>1</v>
      </c>
      <c r="H13" s="4" t="n">
        <v>2</v>
      </c>
      <c r="I13" s="3" t="inlineStr">
        <is>
          <t>Rule-based v0</t>
        </is>
      </c>
      <c r="J13" s="3" t="inlineStr">
        <is>
          <t>rules</t>
        </is>
      </c>
      <c r="K13" s="5" t="inlineStr">
        <is>
          <t xml:space="preserve">  of which software rules (time share)</t>
        </is>
      </c>
      <c r="L13" s="7">
        <f>SUMPRODUCT((J2:J38="rules")*E2:E38*F2:F38*G2:G38)/SUMPRODUCT(E2:E38,F2:F38)</f>
        <v/>
      </c>
      <c r="M13" t="inlineStr">
        <is>
          <t>Minutes done by fixed rules, templates, formulas ÷ all manual minutes</t>
        </is>
      </c>
    </row>
    <row r="14">
      <c r="A14" s="3" t="n">
        <v>13</v>
      </c>
      <c r="B14" s="3" t="inlineStr">
        <is>
          <t>2 ROI Engine</t>
        </is>
      </c>
      <c r="C14" s="3" t="inlineStr">
        <is>
          <t>Agree franchise fee / royalty / investment with the brand</t>
        </is>
      </c>
      <c r="D14" s="3" t="inlineStr">
        <is>
          <t>H</t>
        </is>
      </c>
      <c r="E14" s="4" t="n">
        <v>0.1667</v>
      </c>
      <c r="F14" s="4" t="n">
        <v>180</v>
      </c>
      <c r="G14" s="4" t="n">
        <v>0</v>
      </c>
      <c r="H14" s="4" t="n">
        <v>5</v>
      </c>
      <c r="I14" s="3" t="inlineStr">
        <is>
          <t>Commercial negotiation with the founder</t>
        </is>
      </c>
      <c r="J14" s="3" t="inlineStr">
        <is>
          <t>human</t>
        </is>
      </c>
      <c r="K14" s="2" t="inlineStr">
        <is>
          <t>Module</t>
        </is>
      </c>
      <c r="L14" s="2" t="inlineStr">
        <is>
          <t>Actions</t>
        </is>
      </c>
      <c r="M14" s="2" t="inlineStr">
        <is>
          <t>AI</t>
        </is>
      </c>
      <c r="N14" s="2" t="inlineStr">
        <is>
          <t>AI→H</t>
        </is>
      </c>
      <c r="O14" s="2" t="inlineStr">
        <is>
          <t>H</t>
        </is>
      </c>
      <c r="P14" s="2" t="inlineStr">
        <is>
          <t>Manual h</t>
        </is>
      </c>
      <c r="Q14" s="2" t="inlineStr">
        <is>
          <t>Human h</t>
        </is>
      </c>
    </row>
    <row r="15">
      <c r="A15" s="3" t="n">
        <v>14</v>
      </c>
      <c r="B15" s="3" t="inlineStr">
        <is>
          <t>2 ROI Engine</t>
        </is>
      </c>
      <c r="C15" s="3" t="inlineStr">
        <is>
          <t>Present the model to the brand founder</t>
        </is>
      </c>
      <c r="D15" s="3" t="inlineStr">
        <is>
          <t>H</t>
        </is>
      </c>
      <c r="E15" s="4" t="n">
        <v>0.1667</v>
      </c>
      <c r="F15" s="4" t="n">
        <v>90</v>
      </c>
      <c r="G15" s="4" t="n">
        <v>0</v>
      </c>
      <c r="H15" s="4" t="n">
        <v>4</v>
      </c>
      <c r="I15" s="3" t="inlineStr">
        <is>
          <t>Trust-building meeting</t>
        </is>
      </c>
      <c r="J15" s="3" t="inlineStr">
        <is>
          <t>human</t>
        </is>
      </c>
      <c r="K15" t="inlineStr">
        <is>
          <t>1 Onboarding</t>
        </is>
      </c>
      <c r="L15">
        <f>COUNTIF(B2:B38,K15)</f>
        <v/>
      </c>
      <c r="M15">
        <f>COUNTIFS(B2:B38,K15,D2:D38,"AI")</f>
        <v/>
      </c>
      <c r="N15">
        <f>COUNTIFS(B2:B38,K15,D2:D38,"AI→H")</f>
        <v/>
      </c>
      <c r="O15">
        <f>COUNTIFS(B2:B38,K15,D2:D38,"H")</f>
        <v/>
      </c>
      <c r="P15" s="11">
        <f>SUMPRODUCT((B2:B38=K15)*E2:E38*F2:F38)/60</f>
        <v/>
      </c>
      <c r="Q15" s="11">
        <f>SUMPRODUCT((B2:B38=K15)*E2:E38*F2:F38*(1-G2:G38))/60</f>
        <v/>
      </c>
    </row>
    <row r="16">
      <c r="A16" s="3" t="n">
        <v>15</v>
      </c>
      <c r="B16" s="3" t="inlineStr">
        <is>
          <t>3 Collateral</t>
        </is>
      </c>
      <c r="C16" s="3" t="inlineStr">
        <is>
          <t>Generate pitch deck</t>
        </is>
      </c>
      <c r="D16" s="3" t="inlineStr">
        <is>
          <t>AI</t>
        </is>
      </c>
      <c r="E16" s="4" t="n">
        <v>0.1667</v>
      </c>
      <c r="F16" s="4" t="n">
        <v>480</v>
      </c>
      <c r="G16" s="4" t="n">
        <v>1</v>
      </c>
      <c r="H16" s="4" t="n">
        <v>3</v>
      </c>
      <c r="I16" s="3" t="inlineStr">
        <is>
          <t>Template + Model Card numbers</t>
        </is>
      </c>
      <c r="J16" s="3" t="inlineStr">
        <is>
          <t>model</t>
        </is>
      </c>
      <c r="K16" t="inlineStr">
        <is>
          <t>2 ROI Engine</t>
        </is>
      </c>
      <c r="L16">
        <f>COUNTIF(B2:B38,K16)</f>
        <v/>
      </c>
      <c r="M16">
        <f>COUNTIFS(B2:B38,K16,D2:D38,"AI")</f>
        <v/>
      </c>
      <c r="N16">
        <f>COUNTIFS(B2:B38,K16,D2:D38,"AI→H")</f>
        <v/>
      </c>
      <c r="O16">
        <f>COUNTIFS(B2:B38,K16,D2:D38,"H")</f>
        <v/>
      </c>
      <c r="P16" s="11">
        <f>SUMPRODUCT((B2:B38=K16)*E2:E38*F2:F38)/60</f>
        <v/>
      </c>
      <c r="Q16" s="11">
        <f>SUMPRODUCT((B2:B38=K16)*E2:E38*F2:F38*(1-G2:G38))/60</f>
        <v/>
      </c>
    </row>
    <row r="17">
      <c r="A17" s="3" t="n">
        <v>16</v>
      </c>
      <c r="B17" s="3" t="inlineStr">
        <is>
          <t>3 Collateral</t>
        </is>
      </c>
      <c r="C17" s="3" t="inlineStr">
        <is>
          <t>Generate sales brochure</t>
        </is>
      </c>
      <c r="D17" s="3" t="inlineStr">
        <is>
          <t>AI</t>
        </is>
      </c>
      <c r="E17" s="4" t="n">
        <v>0.1667</v>
      </c>
      <c r="F17" s="4" t="n">
        <v>240</v>
      </c>
      <c r="G17" s="4" t="n">
        <v>1</v>
      </c>
      <c r="H17" s="4" t="n">
        <v>2</v>
      </c>
      <c r="I17" s="3" t="inlineStr">
        <is>
          <t>Template + Model Card numbers</t>
        </is>
      </c>
      <c r="J17" s="3" t="inlineStr">
        <is>
          <t>model</t>
        </is>
      </c>
      <c r="K17" t="inlineStr">
        <is>
          <t>3 Collateral</t>
        </is>
      </c>
      <c r="L17">
        <f>COUNTIF(B2:B38,K17)</f>
        <v/>
      </c>
      <c r="M17">
        <f>COUNTIFS(B2:B38,K17,D2:D38,"AI")</f>
        <v/>
      </c>
      <c r="N17">
        <f>COUNTIFS(B2:B38,K17,D2:D38,"AI→H")</f>
        <v/>
      </c>
      <c r="O17">
        <f>COUNTIFS(B2:B38,K17,D2:D38,"H")</f>
        <v/>
      </c>
      <c r="P17" s="11">
        <f>SUMPRODUCT((B2:B38=K17)*E2:E38*F2:F38)/60</f>
        <v/>
      </c>
      <c r="Q17" s="11">
        <f>SUMPRODUCT((B2:B38=K17)*E2:E38*F2:F38*(1-G2:G38))/60</f>
        <v/>
      </c>
    </row>
    <row r="18">
      <c r="A18" s="3" t="n">
        <v>17</v>
      </c>
      <c r="B18" s="3" t="inlineStr">
        <is>
          <t>3 Collateral</t>
        </is>
      </c>
      <c r="C18" s="3" t="inlineStr">
        <is>
          <t>Generate ad creatives</t>
        </is>
      </c>
      <c r="D18" s="3" t="inlineStr">
        <is>
          <t>AI</t>
        </is>
      </c>
      <c r="E18" s="4" t="n">
        <v>10</v>
      </c>
      <c r="F18" s="4" t="n">
        <v>45</v>
      </c>
      <c r="G18" s="4" t="n">
        <v>1</v>
      </c>
      <c r="H18" s="4" t="n">
        <v>3</v>
      </c>
      <c r="I18" s="3" t="inlineStr">
        <is>
          <t>Monthly creative refresh for Meta ads</t>
        </is>
      </c>
      <c r="J18" s="3" t="inlineStr">
        <is>
          <t>model</t>
        </is>
      </c>
      <c r="K18" t="inlineStr">
        <is>
          <t>4 Sales Agent</t>
        </is>
      </c>
      <c r="L18">
        <f>COUNTIF(B2:B38,K18)</f>
        <v/>
      </c>
      <c r="M18">
        <f>COUNTIFS(B2:B38,K18,D2:D38,"AI")</f>
        <v/>
      </c>
      <c r="N18">
        <f>COUNTIFS(B2:B38,K18,D2:D38,"AI→H")</f>
        <v/>
      </c>
      <c r="O18">
        <f>COUNTIFS(B2:B38,K18,D2:D38,"H")</f>
        <v/>
      </c>
      <c r="P18" s="11">
        <f>SUMPRODUCT((B2:B38=K18)*E2:E38*F2:F38)/60</f>
        <v/>
      </c>
      <c r="Q18" s="11">
        <f>SUMPRODUCT((B2:B38=K18)*E2:E38*F2:F38*(1-G2:G38))/60</f>
        <v/>
      </c>
    </row>
    <row r="19">
      <c r="A19" s="3" t="n">
        <v>18</v>
      </c>
      <c r="B19" s="3" t="inlineStr">
        <is>
          <t>3 Collateral</t>
        </is>
      </c>
      <c r="C19" s="3" t="inlineStr">
        <is>
          <t>Generate WhatsApp scripts</t>
        </is>
      </c>
      <c r="D19" s="3" t="inlineStr">
        <is>
          <t>AI</t>
        </is>
      </c>
      <c r="E19" s="4" t="n">
        <v>1</v>
      </c>
      <c r="F19" s="4" t="n">
        <v>120</v>
      </c>
      <c r="G19" s="4" t="n">
        <v>1</v>
      </c>
      <c r="H19" s="4" t="n">
        <v>3</v>
      </c>
      <c r="I19" s="3" t="inlineStr">
        <is>
          <t>Monthly script refresh for the agent</t>
        </is>
      </c>
      <c r="J19" s="3" t="inlineStr">
        <is>
          <t>model</t>
        </is>
      </c>
      <c r="K19" t="inlineStr">
        <is>
          <t>5 CRM</t>
        </is>
      </c>
      <c r="L19">
        <f>COUNTIF(B2:B38,K19)</f>
        <v/>
      </c>
      <c r="M19">
        <f>COUNTIFS(B2:B38,K19,D2:D38,"AI")</f>
        <v/>
      </c>
      <c r="N19">
        <f>COUNTIFS(B2:B38,K19,D2:D38,"AI→H")</f>
        <v/>
      </c>
      <c r="O19">
        <f>COUNTIFS(B2:B38,K19,D2:D38,"H")</f>
        <v/>
      </c>
      <c r="P19" s="11">
        <f>SUMPRODUCT((B2:B38=K19)*E2:E38*F2:F38)/60</f>
        <v/>
      </c>
      <c r="Q19" s="11">
        <f>SUMPRODUCT((B2:B38=K19)*E2:E38*F2:F38*(1-G2:G38))/60</f>
        <v/>
      </c>
    </row>
    <row r="20">
      <c r="A20" s="3" t="n">
        <v>19</v>
      </c>
      <c r="B20" s="3" t="inlineStr">
        <is>
          <t>3 Collateral</t>
        </is>
      </c>
      <c r="C20" s="3" t="inlineStr">
        <is>
          <t>Regenerate and download assets</t>
        </is>
      </c>
      <c r="D20" s="3" t="inlineStr">
        <is>
          <t>AI</t>
        </is>
      </c>
      <c r="E20" s="4" t="n">
        <v>15</v>
      </c>
      <c r="F20" s="4" t="n">
        <v>10</v>
      </c>
      <c r="G20" s="4" t="n">
        <v>1</v>
      </c>
      <c r="H20" s="4" t="n">
        <v>1</v>
      </c>
      <c r="I20" s="3" t="inlineStr">
        <is>
          <t>Self-serve iterations</t>
        </is>
      </c>
      <c r="J20" s="3" t="inlineStr">
        <is>
          <t>model</t>
        </is>
      </c>
      <c r="K20" s="5" t="inlineStr">
        <is>
          <t>Total</t>
        </is>
      </c>
      <c r="L20" s="5">
        <f>SUM(L15:L19)</f>
        <v/>
      </c>
      <c r="M20" s="5">
        <f>SUM(M15:M19)</f>
        <v/>
      </c>
      <c r="N20" s="5">
        <f>SUM(N15:N19)</f>
        <v/>
      </c>
      <c r="O20" s="5">
        <f>SUM(O15:O19)</f>
        <v/>
      </c>
      <c r="P20" s="12">
        <f>SUM(P15:P19)</f>
        <v/>
      </c>
      <c r="Q20" s="12">
        <f>SUM(Q15:Q19)</f>
        <v/>
      </c>
    </row>
    <row r="21">
      <c r="A21" s="3" t="n">
        <v>20</v>
      </c>
      <c r="B21" s="3" t="inlineStr">
        <is>
          <t>3 Collateral</t>
        </is>
      </c>
      <c r="C21" s="3" t="inlineStr">
        <is>
          <t>Approve and send collateral</t>
        </is>
      </c>
      <c r="D21" s="3" t="inlineStr">
        <is>
          <t>AI→H</t>
        </is>
      </c>
      <c r="E21" s="4" t="n">
        <v>4</v>
      </c>
      <c r="F21" s="4" t="n">
        <v>30</v>
      </c>
      <c r="G21" s="4" t="n">
        <v>0.5</v>
      </c>
      <c r="H21" s="4" t="n">
        <v>3</v>
      </c>
      <c r="I21" s="3" t="inlineStr">
        <is>
          <t>Brand-facing output needs a human sign-off</t>
        </is>
      </c>
      <c r="J21" s="3" t="inlineStr">
        <is>
          <t>model</t>
        </is>
      </c>
    </row>
    <row r="22">
      <c r="A22" s="3" t="n">
        <v>21</v>
      </c>
      <c r="B22" s="3" t="inlineStr">
        <is>
          <t>4 Sales Agent</t>
        </is>
      </c>
      <c r="C22" s="3" t="inlineStr">
        <is>
          <t>Set up and optimise Meta ad campaigns</t>
        </is>
      </c>
      <c r="D22" s="3" t="inlineStr">
        <is>
          <t>AI→H</t>
        </is>
      </c>
      <c r="E22" s="4" t="n">
        <v>8</v>
      </c>
      <c r="F22" s="4" t="n">
        <v>60</v>
      </c>
      <c r="G22" s="4" t="n">
        <v>0.75</v>
      </c>
      <c r="H22" s="4" t="n">
        <v>4</v>
      </c>
      <c r="I22" s="3" t="inlineStr">
        <is>
          <t>AI proposes targeting and budget; human approves spend</t>
        </is>
      </c>
      <c r="J22" s="3" t="inlineStr">
        <is>
          <t>model</t>
        </is>
      </c>
      <c r="K22" s="13" t="inlineStr">
        <is>
          <t>Yellow cells are estimates you can edit (A19, A20, A34, A35). Blue cells recalculate.</t>
        </is>
      </c>
    </row>
    <row r="23">
      <c r="A23" s="3" t="n">
        <v>22</v>
      </c>
      <c r="B23" s="3" t="inlineStr">
        <is>
          <t>4 Sales Agent</t>
        </is>
      </c>
      <c r="C23" s="3" t="inlineStr">
        <is>
          <t>Capture lead + consent; validate and dedupe</t>
        </is>
      </c>
      <c r="D23" s="3" t="inlineStr">
        <is>
          <t>AI</t>
        </is>
      </c>
      <c r="E23" s="4" t="n">
        <v>500</v>
      </c>
      <c r="F23" s="4" t="n">
        <v>3</v>
      </c>
      <c r="G23" s="4" t="n">
        <v>1</v>
      </c>
      <c r="H23" s="4" t="n">
        <v>2</v>
      </c>
      <c r="I23" s="3" t="inlineStr">
        <is>
          <t>Webhook ingestion</t>
        </is>
      </c>
      <c r="J23" s="3" t="inlineStr">
        <is>
          <t>rules</t>
        </is>
      </c>
    </row>
    <row r="24">
      <c r="A24" s="3" t="n">
        <v>23</v>
      </c>
      <c r="B24" s="3" t="inlineStr">
        <is>
          <t>4 Sales Agent</t>
        </is>
      </c>
      <c r="C24" s="3" t="inlineStr">
        <is>
          <t>Send first WhatsApp reply (template)</t>
        </is>
      </c>
      <c r="D24" s="3" t="inlineStr">
        <is>
          <t>AI</t>
        </is>
      </c>
      <c r="E24" s="4" t="n">
        <v>500</v>
      </c>
      <c r="F24" s="4" t="n">
        <v>3</v>
      </c>
      <c r="G24" s="4" t="n">
        <v>1</v>
      </c>
      <c r="H24" s="4" t="n">
        <v>3</v>
      </c>
      <c r="I24" s="3" t="inlineStr">
        <is>
          <t>Speed-to-lead</t>
        </is>
      </c>
      <c r="J24" s="3" t="inlineStr">
        <is>
          <t>rules</t>
        </is>
      </c>
    </row>
    <row r="25">
      <c r="A25" s="3" t="n">
        <v>24</v>
      </c>
      <c r="B25" s="3" t="inlineStr">
        <is>
          <t>4 Sales Agent</t>
        </is>
      </c>
      <c r="C25" s="3" t="inlineStr">
        <is>
          <t>Qualify lead on WhatsApp (budget / city / timeline)</t>
        </is>
      </c>
      <c r="D25" s="3" t="inlineStr">
        <is>
          <t>AI</t>
        </is>
      </c>
      <c r="E25" s="4" t="n">
        <v>500</v>
      </c>
      <c r="F25" s="4" t="n">
        <v>15</v>
      </c>
      <c r="G25" s="4" t="n">
        <v>1</v>
      </c>
      <c r="H25" s="4" t="n">
        <v>4</v>
      </c>
      <c r="I25" s="3" t="inlineStr">
        <is>
          <t>Core agent job</t>
        </is>
      </c>
      <c r="J25" s="3" t="inlineStr">
        <is>
          <t>model</t>
        </is>
      </c>
    </row>
    <row r="26">
      <c r="A26" s="3" t="n">
        <v>25</v>
      </c>
      <c r="B26" s="3" t="inlineStr">
        <is>
          <t>4 Sales Agent</t>
        </is>
      </c>
      <c r="C26" s="3" t="inlineStr">
        <is>
          <t>Answer FAQs from approved facts</t>
        </is>
      </c>
      <c r="D26" s="3" t="inlineStr">
        <is>
          <t>AI</t>
        </is>
      </c>
      <c r="E26" s="4" t="n">
        <v>1000</v>
      </c>
      <c r="F26" s="4" t="n">
        <v>2</v>
      </c>
      <c r="G26" s="4" t="n">
        <v>1</v>
      </c>
      <c r="H26" s="4" t="n">
        <v>3</v>
      </c>
      <c r="I26" s="3" t="inlineStr">
        <is>
          <t>Grounded answers only</t>
        </is>
      </c>
      <c r="J26" s="3" t="inlineStr">
        <is>
          <t>model</t>
        </is>
      </c>
    </row>
    <row r="27">
      <c r="A27" s="3" t="n">
        <v>26</v>
      </c>
      <c r="B27" s="3" t="inlineStr">
        <is>
          <t>4 Sales Agent</t>
        </is>
      </c>
      <c r="C27" s="3" t="inlineStr">
        <is>
          <t>Run Voice AI qualification call</t>
        </is>
      </c>
      <c r="D27" s="3" t="inlineStr">
        <is>
          <t>AI</t>
        </is>
      </c>
      <c r="E27" s="4" t="n">
        <v>150</v>
      </c>
      <c r="F27" s="4" t="n">
        <v>10</v>
      </c>
      <c r="G27" s="4" t="n">
        <v>1</v>
      </c>
      <c r="H27" s="4" t="n">
        <v>3</v>
      </c>
      <c r="I27" s="3" t="inlineStr">
        <is>
          <t>Second channel</t>
        </is>
      </c>
      <c r="J27" s="3" t="inlineStr">
        <is>
          <t>model</t>
        </is>
      </c>
    </row>
    <row r="28">
      <c r="A28" s="3" t="n">
        <v>27</v>
      </c>
      <c r="B28" s="3" t="inlineStr">
        <is>
          <t>4 Sales Agent</t>
        </is>
      </c>
      <c r="C28" s="3" t="inlineStr">
        <is>
          <t>Send email nurture sequence</t>
        </is>
      </c>
      <c r="D28" s="3" t="inlineStr">
        <is>
          <t>AI</t>
        </is>
      </c>
      <c r="E28" s="4" t="n">
        <v>1500</v>
      </c>
      <c r="F28" s="4" t="n">
        <v>2</v>
      </c>
      <c r="G28" s="4" t="n">
        <v>1</v>
      </c>
      <c r="H28" s="4" t="n">
        <v>1</v>
      </c>
      <c r="I28" s="3" t="inlineStr">
        <is>
          <t>3 emails per lead</t>
        </is>
      </c>
      <c r="J28" s="3" t="inlineStr">
        <is>
          <t>rules</t>
        </is>
      </c>
    </row>
    <row r="29">
      <c r="A29" s="3" t="n">
        <v>28</v>
      </c>
      <c r="B29" s="3" t="inlineStr">
        <is>
          <t>4 Sales Agent</t>
        </is>
      </c>
      <c r="C29" s="3" t="inlineStr">
        <is>
          <t>Send follow-up / re-engagement nudges</t>
        </is>
      </c>
      <c r="D29" s="3" t="inlineStr">
        <is>
          <t>AI</t>
        </is>
      </c>
      <c r="E29" s="4" t="n">
        <v>1000</v>
      </c>
      <c r="F29" s="4" t="n">
        <v>1</v>
      </c>
      <c r="G29" s="4" t="n">
        <v>1</v>
      </c>
      <c r="H29" s="4" t="n">
        <v>2</v>
      </c>
      <c r="I29" s="3" t="inlineStr">
        <is>
          <t>Template-based</t>
        </is>
      </c>
      <c r="J29" s="3" t="inlineStr">
        <is>
          <t>rules</t>
        </is>
      </c>
    </row>
    <row r="30">
      <c r="A30" s="3" t="n">
        <v>29</v>
      </c>
      <c r="B30" s="3" t="inlineStr">
        <is>
          <t>4 Sales Agent</t>
        </is>
      </c>
      <c r="C30" s="3" t="inlineStr">
        <is>
          <t>Detect HITL triggers and flag</t>
        </is>
      </c>
      <c r="D30" s="3" t="inlineStr">
        <is>
          <t>AI</t>
        </is>
      </c>
      <c r="E30" s="4" t="n">
        <v>500</v>
      </c>
      <c r="F30" s="4" t="n">
        <v>2</v>
      </c>
      <c r="G30" s="4" t="n">
        <v>1</v>
      </c>
      <c r="H30" s="4" t="n">
        <v>4</v>
      </c>
      <c r="I30" s="3" t="inlineStr">
        <is>
          <t>Rule engine (Task 3)</t>
        </is>
      </c>
      <c r="J30" s="3" t="inlineStr">
        <is>
          <t>model</t>
        </is>
      </c>
    </row>
    <row r="31">
      <c r="A31" s="3" t="n">
        <v>30</v>
      </c>
      <c r="B31" s="3" t="inlineStr">
        <is>
          <t>4 Sales Agent</t>
        </is>
      </c>
      <c r="C31" s="3" t="inlineStr">
        <is>
          <t>Update live tracking (leads / messages / conversations)</t>
        </is>
      </c>
      <c r="D31" s="3" t="inlineStr">
        <is>
          <t>AI</t>
        </is>
      </c>
      <c r="E31" s="4" t="n">
        <v>30</v>
      </c>
      <c r="F31" s="4" t="n">
        <v>20</v>
      </c>
      <c r="G31" s="4" t="n">
        <v>1</v>
      </c>
      <c r="H31" s="4" t="n">
        <v>1</v>
      </c>
      <c r="I31" s="3" t="inlineStr">
        <is>
          <t>Daily roll-up</t>
        </is>
      </c>
      <c r="J31" s="3" t="inlineStr">
        <is>
          <t>rules</t>
        </is>
      </c>
    </row>
    <row r="32">
      <c r="A32" s="3" t="n">
        <v>31</v>
      </c>
      <c r="B32" s="3" t="inlineStr">
        <is>
          <t>5 CRM</t>
        </is>
      </c>
      <c r="C32" s="3" t="inlineStr">
        <is>
          <t>Build unified interaction timeline</t>
        </is>
      </c>
      <c r="D32" s="3" t="inlineStr">
        <is>
          <t>AI</t>
        </is>
      </c>
      <c r="E32" s="4" t="n">
        <v>500</v>
      </c>
      <c r="F32" s="4" t="n">
        <v>3</v>
      </c>
      <c r="G32" s="4" t="n">
        <v>1</v>
      </c>
      <c r="H32" s="4" t="n">
        <v>2</v>
      </c>
      <c r="I32" s="3" t="inlineStr">
        <is>
          <t>Event log</t>
        </is>
      </c>
      <c r="J32" s="3" t="inlineStr">
        <is>
          <t>rules</t>
        </is>
      </c>
    </row>
    <row r="33">
      <c r="A33" s="3" t="n">
        <v>32</v>
      </c>
      <c r="B33" s="3" t="inlineStr">
        <is>
          <t>5 CRM</t>
        </is>
      </c>
      <c r="C33" s="3" t="inlineStr">
        <is>
          <t>Summarise lead for the consultant at takeover</t>
        </is>
      </c>
      <c r="D33" s="3" t="inlineStr">
        <is>
          <t>AI</t>
        </is>
      </c>
      <c r="E33" s="4" t="n">
        <v>60</v>
      </c>
      <c r="F33" s="4" t="n">
        <v>10</v>
      </c>
      <c r="G33" s="4" t="n">
        <v>1</v>
      </c>
      <c r="H33" s="4" t="n">
        <v>3</v>
      </c>
      <c r="I33" s="3" t="inlineStr">
        <is>
          <t>5-bullet summary</t>
        </is>
      </c>
      <c r="J33" s="3" t="inlineStr">
        <is>
          <t>model</t>
        </is>
      </c>
    </row>
    <row r="34">
      <c r="A34" s="3" t="n">
        <v>33</v>
      </c>
      <c r="B34" s="3" t="inlineStr">
        <is>
          <t>5 CRM</t>
        </is>
      </c>
      <c r="C34" s="3" t="inlineStr">
        <is>
          <t>Take over the conversation and reply</t>
        </is>
      </c>
      <c r="D34" s="3" t="inlineStr">
        <is>
          <t>H</t>
        </is>
      </c>
      <c r="E34" s="4" t="n">
        <v>60</v>
      </c>
      <c r="F34" s="4" t="n">
        <v>20</v>
      </c>
      <c r="G34" s="4" t="n">
        <v>0</v>
      </c>
      <c r="H34" s="4" t="n">
        <v>4</v>
      </c>
      <c r="I34" s="3" t="inlineStr">
        <is>
          <t>The flagged moments are the high-value ones</t>
        </is>
      </c>
      <c r="J34" s="3" t="inlineStr">
        <is>
          <t>human</t>
        </is>
      </c>
    </row>
    <row r="35">
      <c r="A35" s="3" t="n">
        <v>34</v>
      </c>
      <c r="B35" s="3" t="inlineStr">
        <is>
          <t>5 CRM</t>
        </is>
      </c>
      <c r="C35" s="3" t="inlineStr">
        <is>
          <t>Live call intelligence (notes + prompts)</t>
        </is>
      </c>
      <c r="D35" s="3" t="inlineStr">
        <is>
          <t>AI</t>
        </is>
      </c>
      <c r="E35" s="4" t="n">
        <v>20</v>
      </c>
      <c r="F35" s="4" t="n">
        <v>30</v>
      </c>
      <c r="G35" s="4" t="n">
        <v>1</v>
      </c>
      <c r="H35" s="4" t="n">
        <v>3</v>
      </c>
      <c r="I35" s="3" t="inlineStr">
        <is>
          <t>Transcription + checklist</t>
        </is>
      </c>
      <c r="J35" s="3" t="inlineStr">
        <is>
          <t>model</t>
        </is>
      </c>
    </row>
    <row r="36">
      <c r="A36" s="3" t="n">
        <v>35</v>
      </c>
      <c r="B36" s="3" t="inlineStr">
        <is>
          <t>5 CRM</t>
        </is>
      </c>
      <c r="C36" s="3" t="inlineStr">
        <is>
          <t>Run discovery call with the prospect</t>
        </is>
      </c>
      <c r="D36" s="3" t="inlineStr">
        <is>
          <t>H</t>
        </is>
      </c>
      <c r="E36" s="4" t="n">
        <v>20</v>
      </c>
      <c r="F36" s="4" t="n">
        <v>45</v>
      </c>
      <c r="G36" s="4" t="n">
        <v>0</v>
      </c>
      <c r="H36" s="4" t="n">
        <v>5</v>
      </c>
      <c r="I36" s="3" t="inlineStr">
        <is>
          <t>Trust and objection handling</t>
        </is>
      </c>
      <c r="J36" s="3" t="inlineStr">
        <is>
          <t>human</t>
        </is>
      </c>
    </row>
    <row r="37">
      <c r="A37" s="3" t="n">
        <v>36</v>
      </c>
      <c r="B37" s="3" t="inlineStr">
        <is>
          <t>5 CRM</t>
        </is>
      </c>
      <c r="C37" s="3" t="inlineStr">
        <is>
          <t>Negotiate and close (sign agreement)</t>
        </is>
      </c>
      <c r="D37" s="3" t="inlineStr">
        <is>
          <t>H</t>
        </is>
      </c>
      <c r="E37" s="4" t="n">
        <v>6</v>
      </c>
      <c r="F37" s="4" t="n">
        <v>180</v>
      </c>
      <c r="G37" s="4" t="n">
        <v>0</v>
      </c>
      <c r="H37" s="4" t="n">
        <v>5</v>
      </c>
      <c r="I37" s="3" t="inlineStr">
        <is>
          <t>The revenue event</t>
        </is>
      </c>
      <c r="J37" s="3" t="inlineStr">
        <is>
          <t>human</t>
        </is>
      </c>
    </row>
    <row r="38">
      <c r="A38" s="3" t="n">
        <v>37</v>
      </c>
      <c r="B38" s="3" t="inlineStr">
        <is>
          <t>5 CRM</t>
        </is>
      </c>
      <c r="C38" s="3" t="inlineStr">
        <is>
          <t>Update deal stage</t>
        </is>
      </c>
      <c r="D38" s="3" t="inlineStr">
        <is>
          <t>AI→H</t>
        </is>
      </c>
      <c r="E38" s="4" t="n">
        <v>80</v>
      </c>
      <c r="F38" s="4" t="n">
        <v>3</v>
      </c>
      <c r="G38" s="4" t="n">
        <v>0.6</v>
      </c>
      <c r="H38" s="4" t="n">
        <v>2</v>
      </c>
      <c r="I38" s="3" t="inlineStr">
        <is>
          <t>AI suggests the stage from the conversation; consultant confirms</t>
        </is>
      </c>
      <c r="J38" s="3" t="inlineStr">
        <is>
          <t>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What this is</t>
        </is>
      </c>
      <c r="B1" s="14" t="inlineStr">
        <is>
          <t>Task 1b: every user-facing action in the 5 modules, with who does it, and the AI/Human split measured 4 ways.</t>
        </is>
      </c>
    </row>
    <row r="2">
      <c r="A2" s="5" t="inlineStr">
        <is>
          <t>Owner codes</t>
        </is>
      </c>
      <c r="B2" s="14" t="inlineStr">
        <is>
          <t>AI = done end to end by AI.  AI→H = AI drafts, a human approves.  H = human only.</t>
        </is>
      </c>
    </row>
    <row r="3">
      <c r="A3" s="5" t="inlineStr">
        <is>
          <t>Engine (column J)</t>
        </is>
      </c>
      <c r="B3" s="14" t="inlineStr">
        <is>
          <t>model = an AI model does the work (extraction, drafting, conversation, summaries).  rules = fixed software (templates, schedules, formulas, logging, rule-based scores).  human = no automation. Owner says who is accountable; engine says what kind of automation does it.</t>
        </is>
      </c>
    </row>
    <row r="4">
      <c r="A4" s="5" t="inlineStr">
        <is>
          <t>A19 Volumes</t>
        </is>
      </c>
      <c r="B4" s="14" t="inlineStr">
        <is>
          <t>Per brand per month: 500 leads, about 150 voice calls, 60 takeovers, 20 discovery calls, 3 signed. Illustrative, not sourced.</t>
        </is>
      </c>
    </row>
    <row r="5">
      <c r="A5" s="5" t="inlineStr">
        <is>
          <t>A20 Minutes and weights</t>
        </is>
      </c>
      <c r="B5" s="14" t="inlineStr">
        <is>
          <t>Manual minutes and 1-5 value weights are candidate estimates, to be calibrated in the pilot.</t>
        </is>
      </c>
    </row>
    <row r="6">
      <c r="A6" s="5" t="inlineStr">
        <is>
          <t>A34 Set-up spread</t>
        </is>
      </c>
      <c r="B6" s="14" t="inlineStr">
        <is>
          <t>One-off brand set-up actions are spread over a 6-month engagement: frequency 1/6 = 0.1667 per month.</t>
        </is>
      </c>
    </row>
    <row r="7">
      <c r="A7" s="5" t="inlineStr">
        <is>
          <t>A35 Consultant hours</t>
        </is>
      </c>
      <c r="B7" s="14" t="inlineStr">
        <is>
          <t>160 productive hours a month (8 h x 20 working days). Editable in cell L8.</t>
        </is>
      </c>
    </row>
    <row r="8">
      <c r="A8" s="5" t="inlineStr">
        <is>
          <t>Source</t>
        </is>
      </c>
      <c r="B8" s="14" t="inlineStr">
        <is>
          <t>outputs/R1-product-thinking/ai-human-split.csv in the GitHub repo; the write-up is 1b-ai-human-split.md.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2026-10-15T08:51:00Z</dcterms:created>
  <dcterms:modified xsi:type="dcterms:W3CDTF">2026-10-15T08:51:00Z</dcterms:modified>
</cp:coreProperties>
</file>